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sze  - pasze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<sst xmlns="http://schemas.openxmlformats.org/spreadsheetml/2006/main" uniqueCount="251">
  <si>
    <t>pasze</t>
  </si>
  <si>
    <t>Nazwa paszy</t>
  </si>
  <si>
    <t>Producent</t>
  </si>
  <si>
    <t>Rodzaj/ klasa energetyczna</t>
  </si>
  <si>
    <t xml:space="preserve">DM% as fed </t>
  </si>
  <si>
    <t>Digestible Energy -energia właściwa (Mkcal= 1000000 kcal)</t>
  </si>
  <si>
    <t>DE w MJ</t>
  </si>
  <si>
    <t>Białko 
surowe (g)</t>
  </si>
  <si>
    <t>Włókno (g) surowe</t>
  </si>
  <si>
    <t>Tłuszcz (g) surowy</t>
  </si>
  <si>
    <t>Lizyna Lys (g)</t>
  </si>
  <si>
    <t>Wapń Ca (g)</t>
  </si>
  <si>
    <t>Fosfor P (g)</t>
  </si>
  <si>
    <t>Magnez Mg (g)</t>
  </si>
  <si>
    <t>Potas K (g)</t>
  </si>
  <si>
    <t>Sód Na (g)</t>
  </si>
  <si>
    <t>Chlor Cl (g)</t>
  </si>
  <si>
    <t>Siarka S (g)</t>
  </si>
  <si>
    <t>Kobalt Co (mg)</t>
  </si>
  <si>
    <t>Miedź Cu (mg)</t>
  </si>
  <si>
    <t>I jod (mg)</t>
  </si>
  <si>
    <t>Fe żelazo (mg)</t>
  </si>
  <si>
    <t>Mn mangan (mg)</t>
  </si>
  <si>
    <t>Se selen (mg)</t>
  </si>
  <si>
    <t>Zn cynk (mg)</t>
  </si>
  <si>
    <t>Witamina  A (j.m.)</t>
  </si>
  <si>
    <t>Witamina  D (j.m.)</t>
  </si>
  <si>
    <t>Witamina E (j.m.)</t>
  </si>
  <si>
    <t>Tiamina B1 mg</t>
  </si>
  <si>
    <t>Ryboflawina B2 mg</t>
  </si>
  <si>
    <t>Witamina K3 mg</t>
  </si>
  <si>
    <t>Witamina C mg</t>
  </si>
  <si>
    <t xml:space="preserve">Owies średnio </t>
  </si>
  <si>
    <t>Treściwa</t>
  </si>
  <si>
    <t xml:space="preserve">Jęczmień </t>
  </si>
  <si>
    <t>Otręby ryżowe</t>
  </si>
  <si>
    <t>Otręby ryżowe nuba bilansowane</t>
  </si>
  <si>
    <t>Nuba</t>
  </si>
  <si>
    <t>Otręby pszenne</t>
  </si>
  <si>
    <t>Pulpa buraczana melasowana</t>
  </si>
  <si>
    <t>Pulpa buraczana niemelaskwana</t>
  </si>
  <si>
    <t>Soja</t>
  </si>
  <si>
    <t xml:space="preserve">Makuch lniany </t>
  </si>
  <si>
    <t>Makuch konopny SAMFARM</t>
  </si>
  <si>
    <t>Ziarno słonecznika</t>
  </si>
  <si>
    <t>Wytłoki jabłkowe</t>
  </si>
  <si>
    <t>Dengie Hi-Fi Molases free</t>
  </si>
  <si>
    <t>Dengie</t>
  </si>
  <si>
    <t>Objętościowa</t>
  </si>
  <si>
    <t>Dengie Alfa-A</t>
  </si>
  <si>
    <t xml:space="preserve">Dengie HEALTHY TUMMY </t>
  </si>
  <si>
    <t>Lucerna granulowana HARTOG</t>
  </si>
  <si>
    <t>Marstall Basis Luzerne</t>
  </si>
  <si>
    <t>Marstall</t>
  </si>
  <si>
    <t>Lucerna Hartog</t>
  </si>
  <si>
    <t xml:space="preserve">HARTOG DIGEST </t>
  </si>
  <si>
    <t>Lucerna 1 pokos</t>
  </si>
  <si>
    <t>Lucerna z miętą POLSKI ŻŁÓB</t>
  </si>
  <si>
    <t>Musli Eko bezowsowe Polski żłób</t>
  </si>
  <si>
    <t>treściwa</t>
  </si>
  <si>
    <t xml:space="preserve">Polski Żłób Vital Basic Musli </t>
  </si>
  <si>
    <t>Lucerna 2 pokos</t>
  </si>
  <si>
    <t xml:space="preserve">Grass Mix Hartog </t>
  </si>
  <si>
    <t>Trawo kulki haycobs</t>
  </si>
  <si>
    <t>Trawo kulki hippovet</t>
  </si>
  <si>
    <t>Siano głównie z traw, immature</t>
  </si>
  <si>
    <t>Siano, łąka zarośnięta 1 pokos</t>
  </si>
  <si>
    <t>Sianokiszonka- mostly grass silage immature</t>
  </si>
  <si>
    <t>Sianokiszonka- mostly grass silage mature</t>
  </si>
  <si>
    <t>220 musli energetyczne IL CAMPI.ONE</t>
  </si>
  <si>
    <t xml:space="preserve"> IL CAMPI.ONE</t>
  </si>
  <si>
    <t>Simply healthy musli natura Sanat</t>
  </si>
  <si>
    <t>Natura sanat</t>
  </si>
  <si>
    <t>Chrupka Omega Fiber</t>
  </si>
  <si>
    <t xml:space="preserve">Chrupka </t>
  </si>
  <si>
    <t>Mebio Build Up</t>
  </si>
  <si>
    <t>Mebio</t>
  </si>
  <si>
    <t>Mebio basic</t>
  </si>
  <si>
    <t>Mebio Active Balance</t>
  </si>
  <si>
    <t>St Hyppolit Palatin Glyx Wiese Musli</t>
  </si>
  <si>
    <t>St Hyppolit</t>
  </si>
  <si>
    <t>HARTOG BALANCE</t>
  </si>
  <si>
    <t>HARTOG</t>
  </si>
  <si>
    <t>TREŚCIWA</t>
  </si>
  <si>
    <t>St Hyppolit Hippovet Krauter</t>
  </si>
  <si>
    <t>St Hyppolit Hippovet EQUILAC dla klaczy źrebnych</t>
  </si>
  <si>
    <t>Medvetico Brandon XS</t>
  </si>
  <si>
    <t>MEDVETICO</t>
  </si>
  <si>
    <t>Energys Baby</t>
  </si>
  <si>
    <t>Energys</t>
  </si>
  <si>
    <t>Energys Standard</t>
  </si>
  <si>
    <t>Grassland wysłodki buraczane</t>
  </si>
  <si>
    <t>Energys Herbic</t>
  </si>
  <si>
    <t>Energys Relax</t>
  </si>
  <si>
    <t xml:space="preserve">grassland makuch z czarnuszki </t>
  </si>
  <si>
    <t>Grassland</t>
  </si>
  <si>
    <t xml:space="preserve">Saracen Recovery mash </t>
  </si>
  <si>
    <t>Saracen</t>
  </si>
  <si>
    <t>SARACEN PERFORMANCE ENDURO</t>
  </si>
  <si>
    <t xml:space="preserve">Saracen veteran mash </t>
  </si>
  <si>
    <t xml:space="preserve">Saracen veteran balancer </t>
  </si>
  <si>
    <t>Saracen Super Fibre cubes</t>
  </si>
  <si>
    <t>Saracen Super Fibre mix</t>
  </si>
  <si>
    <t>Saracen Re-leve cubes</t>
  </si>
  <si>
    <t>Saracen Competition Fit mix</t>
  </si>
  <si>
    <t>Saracen Competition Fit Cubes</t>
  </si>
  <si>
    <t>Saracen Cooling Mix</t>
  </si>
  <si>
    <t>Saracen Stamm 30</t>
  </si>
  <si>
    <t>Saracen Essential Balancer</t>
  </si>
  <si>
    <t>Saracen Shape up</t>
  </si>
  <si>
    <t>Saracen Equi Jewel</t>
  </si>
  <si>
    <t>SARACEN LIVERY MUSLI</t>
  </si>
  <si>
    <t>Dodson&amp;Horrell Build Up Cubes</t>
  </si>
  <si>
    <t>Dodson&amp;Horrel</t>
  </si>
  <si>
    <t>Dodson&amp;Horrell Build Up CONDITIONING MX</t>
  </si>
  <si>
    <t>Biofeed Horse&amp;Pony Traditional Pellets</t>
  </si>
  <si>
    <t>Biofeed</t>
  </si>
  <si>
    <t>Biofeed Horse&amp;Pony calm Oat Free Musli</t>
  </si>
  <si>
    <t xml:space="preserve">Biofeed Horse&amp;Pony sensitive alfalfa free musli </t>
  </si>
  <si>
    <t>Pasza energetyczna dla koni sportowych Cavalor Action Mix</t>
  </si>
  <si>
    <t>Cavalor</t>
  </si>
  <si>
    <t>Pasza dla koni bez imo LIKOPASZ</t>
  </si>
  <si>
    <t>Likopasz</t>
  </si>
  <si>
    <t xml:space="preserve">KUVIAN musi basic </t>
  </si>
  <si>
    <t>kuvian</t>
  </si>
  <si>
    <t>Elite Robust musli Fixkraft</t>
  </si>
  <si>
    <t>Fixkraft</t>
  </si>
  <si>
    <t>Spillers Stamina Cubes</t>
  </si>
  <si>
    <t>Spillers</t>
  </si>
  <si>
    <t xml:space="preserve">Spillers Happy Hoof </t>
  </si>
  <si>
    <t xml:space="preserve">Objętościowa </t>
  </si>
  <si>
    <t xml:space="preserve">Eggersmann EMH Classic Musli </t>
  </si>
  <si>
    <t>Eggersmann</t>
  </si>
  <si>
    <t xml:space="preserve">Eggersmann EMH F Musli </t>
  </si>
  <si>
    <t>Eggersmann STRUKTUR EQUICHAMP</t>
  </si>
  <si>
    <t>Eggersmann vitalize sport plus</t>
  </si>
  <si>
    <t>Eggersmann Green Power Getreidefrei</t>
  </si>
  <si>
    <t>Eggersmann KRAUTER MUSLI</t>
  </si>
  <si>
    <t>Eggersmann Weserland Mash Getreidefrei</t>
  </si>
  <si>
    <t>Eggersmann EMH Struktur Getreidefrei</t>
  </si>
  <si>
    <t>Eggersmann Kombi Pellet</t>
  </si>
  <si>
    <t>Sukces Musli Hodowlana</t>
  </si>
  <si>
    <t>Sukces</t>
  </si>
  <si>
    <t>Sukces Musli Podstawowe</t>
  </si>
  <si>
    <t>Sukces Granulat dla źrebiąt</t>
  </si>
  <si>
    <t>Granulat Purina Klacz i źrebię</t>
  </si>
  <si>
    <t>Purina</t>
  </si>
  <si>
    <t>Agrovital Calm-Gran</t>
  </si>
  <si>
    <t>Agrovital</t>
  </si>
  <si>
    <t>Agrovital Control</t>
  </si>
  <si>
    <t>Agrovital Alergia</t>
  </si>
  <si>
    <t>AGROVITAL ENDURO</t>
  </si>
  <si>
    <t>AGROVITAL GASTRO</t>
  </si>
  <si>
    <t>Agrovital Hoof Care</t>
  </si>
  <si>
    <t xml:space="preserve">HAVENS  Gastro Plus </t>
  </si>
  <si>
    <t>HAVENS</t>
  </si>
  <si>
    <t>HAVENS Performance 14</t>
  </si>
  <si>
    <t>Hoveler Terabb e</t>
  </si>
  <si>
    <t>Hoveler</t>
  </si>
  <si>
    <t>Hoveler EF Pferde Musli</t>
  </si>
  <si>
    <t>Hoveler HRS Musli Basic</t>
  </si>
  <si>
    <t>Hoveler Reformin Plus</t>
  </si>
  <si>
    <t>Balancer</t>
  </si>
  <si>
    <t xml:space="preserve">Hoveler terabb Classic </t>
  </si>
  <si>
    <t>HOVELER Getreide Mix Gold musli</t>
  </si>
  <si>
    <t>HOVELER PUR.ITAN musli</t>
  </si>
  <si>
    <t>HOVELER PUR  KRAUTER musli</t>
  </si>
  <si>
    <t>HOVELER ZF PLUS</t>
  </si>
  <si>
    <t>Nuba Long Life Musli</t>
  </si>
  <si>
    <t xml:space="preserve">Nuba digest musli </t>
  </si>
  <si>
    <t>Nuba Builder</t>
  </si>
  <si>
    <t>Nuba Herb MASH</t>
  </si>
  <si>
    <t xml:space="preserve">Panto Apfel Musli </t>
  </si>
  <si>
    <t>Panto</t>
  </si>
  <si>
    <t>PAVO NATURES BEST</t>
  </si>
  <si>
    <t>PAVo</t>
  </si>
  <si>
    <t xml:space="preserve">Pavo Podo Start </t>
  </si>
  <si>
    <t xml:space="preserve">Pavo Podo Lac </t>
  </si>
  <si>
    <t>Pavo Podo GROW</t>
  </si>
  <si>
    <t>St Hyppolit Nutristar</t>
  </si>
  <si>
    <t>ST Hyppolit Equigard</t>
  </si>
  <si>
    <t>St Hyppolit  Struktur Energetikum</t>
  </si>
  <si>
    <t>Equilanoo total balancer</t>
  </si>
  <si>
    <t>Equilanoo</t>
  </si>
  <si>
    <t>HOVELER PUR GASTRO</t>
  </si>
  <si>
    <t xml:space="preserve">Nuba Sunny Mash </t>
  </si>
  <si>
    <t>Hoveler Reformin</t>
  </si>
  <si>
    <t>Hovler</t>
  </si>
  <si>
    <t xml:space="preserve">Balancer </t>
  </si>
  <si>
    <t>Hoveler Relax</t>
  </si>
  <si>
    <t>Day Complex Classic Musli Pro Linen</t>
  </si>
  <si>
    <t>Pro Linen</t>
  </si>
  <si>
    <t>Day Complex Musli Pro Linen</t>
  </si>
  <si>
    <t>Pro Linen Olimpic Show Mix</t>
  </si>
  <si>
    <t>Złotowital musli podstawowe</t>
  </si>
  <si>
    <t>Złotowital</t>
  </si>
  <si>
    <t xml:space="preserve">Złotowital musli ziołowe </t>
  </si>
  <si>
    <t xml:space="preserve">Złotowital hest musli </t>
  </si>
  <si>
    <t>Złotowital hodowla musli</t>
  </si>
  <si>
    <t>EMH STRUKTUR EQUICHAMP</t>
  </si>
  <si>
    <t>EMH</t>
  </si>
  <si>
    <t>HRS musli basic</t>
  </si>
  <si>
    <t>Blattin Hoveler</t>
  </si>
  <si>
    <t>PASZA UNIWERSALNA DLA KONI SUPER KONIK KOJPASZ – GRANULAT</t>
  </si>
  <si>
    <t>Kojpasz</t>
  </si>
  <si>
    <t>Fds musli build up</t>
  </si>
  <si>
    <t>FDS</t>
  </si>
  <si>
    <t>Melloni Horses Feed Standard</t>
  </si>
  <si>
    <t>Melloni horses</t>
  </si>
  <si>
    <t>10 Cool N Cooked Mix Red Mills</t>
  </si>
  <si>
    <t>RED MILLS</t>
  </si>
  <si>
    <t>10 Cool Feed Cubes Red Mills</t>
  </si>
  <si>
    <t>14 Cool N Conditioning Cubes Red Mills</t>
  </si>
  <si>
    <t>14 Conditioning Mix Red Mills</t>
  </si>
  <si>
    <t>12 Competition Mix Red Mills</t>
  </si>
  <si>
    <t>14 Stud Mix Red Mix Mills</t>
  </si>
  <si>
    <t>14 Horse Cooked Mix Red Mix Mills</t>
  </si>
  <si>
    <t>18 Foal&amp; Yearling Mix Red Mills</t>
  </si>
  <si>
    <t>15 Hi-Oil Mix Red Mills</t>
  </si>
  <si>
    <t>10 Horse Care Mix Red Mills</t>
  </si>
  <si>
    <t>10 Horse Care Cubes Red Mills</t>
  </si>
  <si>
    <t>14 Horse Care Mix Red Mills</t>
  </si>
  <si>
    <t>14 Horse Care Cubes Red Mills</t>
  </si>
  <si>
    <t>Horse Care Ultra Cubes Red Mills</t>
  </si>
  <si>
    <t>20 Oat Balancer Mix Red Mills</t>
  </si>
  <si>
    <t>30 Grocare Balancer Red Mills</t>
  </si>
  <si>
    <t>Define &amp; Shine Red Mills</t>
  </si>
  <si>
    <t>Horse Care Mash Red Mills</t>
  </si>
  <si>
    <t>Comfort Mash Red Mills</t>
  </si>
  <si>
    <t>Elektrolity sukces</t>
  </si>
  <si>
    <t>suplement</t>
  </si>
  <si>
    <t>Foran Chevinal 30ml</t>
  </si>
  <si>
    <t>Foran</t>
  </si>
  <si>
    <t>Hippovet Pharmacy ProHooves Formula 1kg</t>
  </si>
  <si>
    <t>Hippovet</t>
  </si>
  <si>
    <t>Hoof Aid Liquid Foran 1l</t>
  </si>
  <si>
    <t>Foran Cal Gro 150 g</t>
  </si>
  <si>
    <t>Foran Equi Lyte G elektrolit 30g</t>
  </si>
  <si>
    <t>MINVIN Dromy 100g</t>
  </si>
  <si>
    <t>Dromy</t>
  </si>
  <si>
    <t>Mebio Daily Minerals</t>
  </si>
  <si>
    <t xml:space="preserve">COMPTEWAY FIRST GROWING 1KG  </t>
  </si>
  <si>
    <t>COMPTEWAY</t>
  </si>
  <si>
    <t xml:space="preserve">COMPTEWAY COMPETITION 1KG </t>
  </si>
  <si>
    <t xml:space="preserve">CORTAFLEX MAGNITUDE MAGNEZ 1 KG </t>
  </si>
  <si>
    <t>CORTAFLEX</t>
  </si>
  <si>
    <t>Trouwit witamina E i Selen 1l</t>
  </si>
  <si>
    <t>Trouwit</t>
  </si>
  <si>
    <t>Animki konie de heus 1kg</t>
  </si>
  <si>
    <t>HorseLinePRO VitaMax</t>
  </si>
  <si>
    <t>HorseLine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</si>
</sst>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8"/>
      <name val="Times Roman"/>
    </font>
    <font>
      <sz val="10"/>
      <color indexed="8"/>
      <name val="Helvetica Neue Medium"/>
    </font>
    <font>
      <sz val="12"/>
      <color indexed="8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medium">
        <color indexed="10"/>
      </left>
      <right style="thin">
        <color indexed="11"/>
      </right>
      <top style="medium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10"/>
      </top>
      <bottom style="thin">
        <color indexed="8"/>
      </bottom>
      <diagonal/>
    </border>
    <border>
      <left style="thin">
        <color indexed="11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10"/>
      </right>
      <top style="thin">
        <color indexed="8"/>
      </top>
      <bottom/>
      <diagonal/>
    </border>
    <border>
      <left style="medium">
        <color indexed="10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 style="thin">
        <color indexed="8"/>
      </right>
      <top style="thin">
        <color indexed="11"/>
      </top>
      <bottom style="medium">
        <color indexed="10"/>
      </bottom>
      <diagonal/>
    </border>
    <border>
      <left style="thin">
        <color indexed="8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2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49" fontId="3" fillId="2" borderId="2" applyNumberFormat="1" applyFont="1" applyFill="1" applyBorder="1" applyAlignment="1" applyProtection="0">
      <alignment horizontal="center" vertical="top" wrapText="1" readingOrder="1"/>
    </xf>
    <xf numFmtId="49" fontId="3" fillId="2" borderId="2" applyNumberFormat="1" applyFont="1" applyFill="1" applyBorder="1" applyAlignment="1" applyProtection="0">
      <alignment horizontal="left" vertical="top" wrapText="1" readingOrder="1"/>
    </xf>
    <xf numFmtId="49" fontId="2" fillId="2" borderId="3" applyNumberFormat="1" applyFont="1" applyFill="1" applyBorder="1" applyAlignment="1" applyProtection="0">
      <alignment horizontal="center" vertical="top" wrapText="1"/>
    </xf>
    <xf numFmtId="49" fontId="4" fillId="2" borderId="4" applyNumberFormat="1" applyFont="1" applyFill="1" applyBorder="1" applyAlignment="1" applyProtection="0">
      <alignment horizontal="left" vertical="top" wrapText="1"/>
    </xf>
    <xf numFmtId="2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2" fontId="0" fillId="2" borderId="6" applyNumberFormat="1" applyFont="1" applyFill="1" applyBorder="1" applyAlignment="1" applyProtection="0">
      <alignment horizontal="center" vertical="top" wrapText="1"/>
    </xf>
    <xf numFmtId="2" fontId="0" fillId="2" borderId="6" applyNumberFormat="1" applyFont="1" applyFill="1" applyBorder="1" applyAlignment="1" applyProtection="0">
      <alignment horizontal="left" vertical="top" wrapText="1"/>
    </xf>
    <xf numFmtId="2" fontId="0" fillId="2" borderId="7" applyNumberFormat="1" applyFont="1" applyFill="1" applyBorder="1" applyAlignment="1" applyProtection="0">
      <alignment horizontal="center" vertical="top" wrapText="1"/>
    </xf>
    <xf numFmtId="49" fontId="4" fillId="2" borderId="8" applyNumberFormat="1" applyFont="1" applyFill="1" applyBorder="1" applyAlignment="1" applyProtection="0">
      <alignment horizontal="left" vertical="top" wrapText="1"/>
    </xf>
    <xf numFmtId="2" fontId="0" fillId="3" borderId="9" applyNumberFormat="1" applyFont="1" applyFill="1" applyBorder="1" applyAlignment="1" applyProtection="0">
      <alignment horizontal="center" vertical="top" wrapText="1"/>
    </xf>
    <xf numFmtId="49" fontId="0" fillId="3" borderId="10" applyNumberFormat="1" applyFont="1" applyFill="1" applyBorder="1" applyAlignment="1" applyProtection="0">
      <alignment horizontal="center" vertical="top" wrapText="1"/>
    </xf>
    <xf numFmtId="2" fontId="0" fillId="3" borderId="10" applyNumberFormat="1" applyFont="1" applyFill="1" applyBorder="1" applyAlignment="1" applyProtection="0">
      <alignment horizontal="center" vertical="top" wrapText="1"/>
    </xf>
    <xf numFmtId="2" fontId="0" fillId="3" borderId="10" applyNumberFormat="1" applyFont="1" applyFill="1" applyBorder="1" applyAlignment="1" applyProtection="0">
      <alignment horizontal="left" vertical="top" wrapText="1"/>
    </xf>
    <xf numFmtId="2" fontId="0" fillId="3" borderId="11" applyNumberFormat="1" applyFont="1" applyFill="1" applyBorder="1" applyAlignment="1" applyProtection="0">
      <alignment horizontal="center" vertical="top" wrapText="1"/>
    </xf>
    <xf numFmtId="2" fontId="0" fillId="2" borderId="9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2" fontId="0" fillId="2" borderId="10" applyNumberFormat="1" applyFont="1" applyFill="1" applyBorder="1" applyAlignment="1" applyProtection="0">
      <alignment horizontal="center" vertical="top" wrapText="1"/>
    </xf>
    <xf numFmtId="2" fontId="0" fillId="2" borderId="10" applyNumberFormat="1" applyFont="1" applyFill="1" applyBorder="1" applyAlignment="1" applyProtection="0">
      <alignment horizontal="left" vertical="top" wrapText="1"/>
    </xf>
    <xf numFmtId="2" fontId="0" fillId="2" borderId="11" applyNumberFormat="1" applyFont="1" applyFill="1" applyBorder="1" applyAlignment="1" applyProtection="0">
      <alignment horizontal="center" vertical="top" wrapText="1"/>
    </xf>
    <xf numFmtId="49" fontId="0" fillId="3" borderId="9" applyNumberFormat="1" applyFont="1" applyFill="1" applyBorder="1" applyAlignment="1" applyProtection="0">
      <alignment horizontal="center" vertical="top" wrapText="1"/>
    </xf>
    <xf numFmtId="49" fontId="4" fillId="4" borderId="8" applyNumberFormat="1" applyFont="1" applyFill="1" applyBorder="1" applyAlignment="1" applyProtection="0">
      <alignment horizontal="left" vertical="top" wrapText="1"/>
    </xf>
    <xf numFmtId="2" fontId="0" fillId="4" borderId="9" applyNumberFormat="1" applyFont="1" applyFill="1" applyBorder="1" applyAlignment="1" applyProtection="0">
      <alignment horizontal="center" vertical="top" wrapText="1"/>
    </xf>
    <xf numFmtId="49" fontId="0" fillId="4" borderId="10" applyNumberFormat="1" applyFont="1" applyFill="1" applyBorder="1" applyAlignment="1" applyProtection="0">
      <alignment horizontal="center" vertical="top" wrapText="1"/>
    </xf>
    <xf numFmtId="2" fontId="0" fillId="4" borderId="10" applyNumberFormat="1" applyFont="1" applyFill="1" applyBorder="1" applyAlignment="1" applyProtection="0">
      <alignment horizontal="center" vertical="top" wrapText="1"/>
    </xf>
    <xf numFmtId="2" fontId="0" fillId="4" borderId="10" applyNumberFormat="1" applyFont="1" applyFill="1" applyBorder="1" applyAlignment="1" applyProtection="0">
      <alignment horizontal="left" vertical="top" wrapText="1"/>
    </xf>
    <xf numFmtId="2" fontId="0" fillId="4" borderId="11" applyNumberFormat="1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49" fontId="4" fillId="3" borderId="9" applyNumberFormat="1" applyFont="1" applyFill="1" applyBorder="1" applyAlignment="1" applyProtection="0">
      <alignment horizontal="left"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horizontal="left" vertical="top" wrapText="1"/>
    </xf>
    <xf numFmtId="49" fontId="4" fillId="5" borderId="8" applyNumberFormat="1" applyFont="1" applyFill="1" applyBorder="1" applyAlignment="1" applyProtection="0">
      <alignment horizontal="left" vertical="top" wrapText="1"/>
    </xf>
    <xf numFmtId="2" fontId="0" fillId="5" borderId="10" applyNumberFormat="1" applyFont="1" applyFill="1" applyBorder="1" applyAlignment="1" applyProtection="0">
      <alignment horizontal="center" vertical="top" wrapText="1"/>
    </xf>
    <xf numFmtId="2" fontId="0" fillId="5" borderId="10" applyNumberFormat="1" applyFont="1" applyFill="1" applyBorder="1" applyAlignment="1" applyProtection="0">
      <alignment horizontal="left" vertical="top" wrapText="1"/>
    </xf>
    <xf numFmtId="2" fontId="0" fillId="5" borderId="11" applyNumberFormat="1" applyFont="1" applyFill="1" applyBorder="1" applyAlignment="1" applyProtection="0">
      <alignment horizontal="center" vertical="top" wrapText="1"/>
    </xf>
    <xf numFmtId="49" fontId="4" fillId="6" borderId="8" applyNumberFormat="1" applyFont="1" applyFill="1" applyBorder="1" applyAlignment="1" applyProtection="0">
      <alignment horizontal="left" vertical="top" wrapText="1"/>
    </xf>
    <xf numFmtId="49" fontId="0" fillId="6" borderId="9" applyNumberFormat="1" applyFont="1" applyFill="1" applyBorder="1" applyAlignment="1" applyProtection="0">
      <alignment horizontal="center" vertical="top" wrapText="1"/>
    </xf>
    <xf numFmtId="49" fontId="0" fillId="6" borderId="10" applyNumberFormat="1" applyFont="1" applyFill="1" applyBorder="1" applyAlignment="1" applyProtection="0">
      <alignment horizontal="center" vertical="top" wrapText="1"/>
    </xf>
    <xf numFmtId="2" fontId="0" fillId="6" borderId="10" applyNumberFormat="1" applyFont="1" applyFill="1" applyBorder="1" applyAlignment="1" applyProtection="0">
      <alignment horizontal="center" vertical="top" wrapText="1"/>
    </xf>
    <xf numFmtId="2" fontId="0" fillId="6" borderId="10" applyNumberFormat="1" applyFont="1" applyFill="1" applyBorder="1" applyAlignment="1" applyProtection="0">
      <alignment horizontal="left" vertical="top" wrapText="1"/>
    </xf>
    <xf numFmtId="2" fontId="0" fillId="6" borderId="11" applyNumberFormat="1" applyFont="1" applyFill="1" applyBorder="1" applyAlignment="1" applyProtection="0">
      <alignment horizontal="center" vertical="top" wrapText="1"/>
    </xf>
    <xf numFmtId="49" fontId="5" fillId="2" borderId="8" applyNumberFormat="1" applyFont="1" applyFill="1" applyBorder="1" applyAlignment="1" applyProtection="0">
      <alignment horizontal="left" vertical="top" wrapText="1"/>
    </xf>
    <xf numFmtId="49" fontId="2" fillId="2" borderId="8" applyNumberFormat="1" applyFont="1" applyFill="1" applyBorder="1" applyAlignment="1" applyProtection="0">
      <alignment horizontal="left" vertical="top" wrapText="1"/>
    </xf>
    <xf numFmtId="2" fontId="0" fillId="3" borderId="10" applyNumberFormat="1" applyFont="1" applyFill="1" applyBorder="1" applyAlignment="1" applyProtection="0">
      <alignment vertical="top" wrapText="1"/>
    </xf>
    <xf numFmtId="2" fontId="0" fillId="3" borderId="11" applyNumberFormat="1" applyFont="1" applyFill="1" applyBorder="1" applyAlignment="1" applyProtection="0">
      <alignment vertical="top" wrapText="1"/>
    </xf>
    <xf numFmtId="2" fontId="0" fillId="2" borderId="10" applyNumberFormat="1" applyFont="1" applyFill="1" applyBorder="1" applyAlignment="1" applyProtection="0">
      <alignment vertical="top" wrapText="1"/>
    </xf>
    <xf numFmtId="2" fontId="0" fillId="2" borderId="11" applyNumberFormat="1" applyFont="1" applyFill="1" applyBorder="1" applyAlignment="1" applyProtection="0">
      <alignment vertical="top" wrapText="1"/>
    </xf>
    <xf numFmtId="2" fontId="2" fillId="2" borderId="10" applyNumberFormat="1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2" fillId="2" borderId="12" applyNumberFormat="1" applyFont="1" applyFill="1" applyBorder="1" applyAlignment="1" applyProtection="0">
      <alignment horizontal="left" vertical="top" wrapText="1"/>
    </xf>
    <xf numFmtId="49" fontId="0" fillId="3" borderId="13" applyNumberFormat="1" applyFont="1" applyFill="1" applyBorder="1" applyAlignment="1" applyProtection="0">
      <alignment horizontal="center" vertical="top" wrapText="1"/>
    </xf>
    <xf numFmtId="49" fontId="0" fillId="3" borderId="14" applyNumberFormat="1" applyFont="1" applyFill="1" applyBorder="1" applyAlignment="1" applyProtection="0">
      <alignment horizontal="center" vertical="top" wrapText="1"/>
    </xf>
    <xf numFmtId="2" fontId="0" fillId="3" borderId="14" applyNumberFormat="1" applyFont="1" applyFill="1" applyBorder="1" applyAlignment="1" applyProtection="0">
      <alignment horizontal="center" vertical="top" wrapText="1"/>
    </xf>
    <xf numFmtId="2" fontId="0" fillId="3" borderId="14" applyNumberFormat="1" applyFont="1" applyFill="1" applyBorder="1" applyAlignment="1" applyProtection="0">
      <alignment horizontal="left" vertical="top" wrapText="1"/>
    </xf>
    <xf numFmtId="2" fontId="0" fillId="3" borderId="14" applyNumberFormat="1" applyFont="1" applyFill="1" applyBorder="1" applyAlignment="1" applyProtection="0">
      <alignment vertical="top" wrapText="1"/>
    </xf>
    <xf numFmtId="2" fontId="0" fillId="3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606060"/>
      <rgbColor rgb="ffb5b5b5"/>
      <rgbColor rgb="ff262626"/>
      <rgbColor rgb="ff0075b9"/>
      <rgbColor rgb="ff04a79d"/>
      <rgbColor rgb="ff1cb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E1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8906" style="1" customWidth="1"/>
    <col min="2" max="2" width="15.0078" style="1" customWidth="1"/>
    <col min="3" max="3" width="12.8516" style="1" customWidth="1"/>
    <col min="4" max="4" width="11.6719" style="1" customWidth="1"/>
    <col min="5" max="5" width="14.5" style="1" customWidth="1"/>
    <col min="6" max="6" width="8.35156" style="1" customWidth="1"/>
    <col min="7" max="9" width="9.85156" style="1" customWidth="1"/>
    <col min="10" max="10" width="9" style="1" customWidth="1"/>
    <col min="11" max="11" width="8.5" style="1" customWidth="1"/>
    <col min="12" max="12" width="9.17188" style="1" customWidth="1"/>
    <col min="13" max="13" width="10.3516" style="1" customWidth="1"/>
    <col min="14" max="14" width="8.5" style="1" customWidth="1"/>
    <col min="15" max="15" width="7.17188" style="1" customWidth="1"/>
    <col min="16" max="16" width="6.625" style="1" customWidth="1"/>
    <col min="17" max="17" width="5.60156" style="1" customWidth="1"/>
    <col min="18" max="18" width="6.79688" style="1" customWidth="1"/>
    <col min="19" max="19" width="6.9375" style="1" customWidth="1"/>
    <col min="20" max="20" width="7.70312" style="1" customWidth="1"/>
    <col min="21" max="21" width="8.17188" style="1" customWidth="1"/>
    <col min="22" max="22" width="8.26562" style="1" customWidth="1"/>
    <col min="23" max="23" width="7.5625" style="1" customWidth="1"/>
    <col min="24" max="24" width="5.8125" style="1" customWidth="1"/>
    <col min="25" max="25" width="10.1875" style="1" customWidth="1"/>
    <col min="26" max="26" width="11.25" style="1" customWidth="1"/>
    <col min="27" max="27" width="10.3438" style="1" customWidth="1"/>
    <col min="28" max="28" width="7.85156" style="1" customWidth="1"/>
    <col min="29" max="31" width="11.3516" style="1" customWidth="1"/>
    <col min="32" max="16384" width="16.3516" style="1" customWidth="1"/>
  </cols>
  <sheetData>
    <row r="1" ht="25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61.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  <c r="F2" t="s" s="6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4">
        <v>30</v>
      </c>
      <c r="AE2" t="s" s="7">
        <v>31</v>
      </c>
    </row>
    <row r="3" ht="20.45" customHeight="1">
      <c r="A3" t="s" s="8">
        <v>32</v>
      </c>
      <c r="B3" s="9"/>
      <c r="C3" t="s" s="10">
        <v>33</v>
      </c>
      <c r="D3" s="11">
        <v>88</v>
      </c>
      <c r="E3" s="11"/>
      <c r="F3" s="12">
        <v>11.5</v>
      </c>
      <c r="G3" s="11">
        <v>85</v>
      </c>
      <c r="H3" s="11">
        <v>99</v>
      </c>
      <c r="I3" s="11">
        <v>46</v>
      </c>
      <c r="J3" s="11">
        <v>4</v>
      </c>
      <c r="K3" s="11">
        <v>1.1</v>
      </c>
      <c r="L3" s="11">
        <v>3.2</v>
      </c>
      <c r="M3" s="11">
        <v>1.2</v>
      </c>
      <c r="N3" s="11">
        <v>5</v>
      </c>
      <c r="O3" s="11">
        <v>0.2</v>
      </c>
      <c r="P3" s="11">
        <v>0.9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3"/>
    </row>
    <row r="4" ht="20.2" customHeight="1">
      <c r="A4" t="s" s="14">
        <v>34</v>
      </c>
      <c r="B4" s="15"/>
      <c r="C4" t="s" s="16">
        <v>33</v>
      </c>
      <c r="D4" s="17">
        <v>88</v>
      </c>
      <c r="E4" s="17"/>
      <c r="F4" s="18">
        <v>12.8</v>
      </c>
      <c r="G4" s="17">
        <v>87</v>
      </c>
      <c r="H4" s="17">
        <v>50</v>
      </c>
      <c r="I4" s="17">
        <v>24</v>
      </c>
      <c r="J4" s="17">
        <v>4</v>
      </c>
      <c r="K4" s="17">
        <v>0.6</v>
      </c>
      <c r="L4" s="17">
        <v>3.4</v>
      </c>
      <c r="M4" s="17">
        <v>1</v>
      </c>
      <c r="N4" s="17">
        <v>4</v>
      </c>
      <c r="O4" s="17">
        <v>0.2</v>
      </c>
      <c r="P4" s="17">
        <v>1.3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9"/>
    </row>
    <row r="5" ht="20.2" customHeight="1">
      <c r="A5" t="s" s="14">
        <v>35</v>
      </c>
      <c r="B5" s="20"/>
      <c r="C5" t="s" s="21">
        <v>33</v>
      </c>
      <c r="D5" s="22">
        <v>90.59999999999999</v>
      </c>
      <c r="E5" s="22">
        <v>3.03</v>
      </c>
      <c r="F5" s="23" cm="1">
        <f t="array" ref="F5">E5*4.184</f>
        <v>12.67752</v>
      </c>
      <c r="G5" s="22">
        <v>140.4</v>
      </c>
      <c r="H5" s="22">
        <v>70</v>
      </c>
      <c r="I5" s="22">
        <v>137.7</v>
      </c>
      <c r="J5" s="22">
        <v>6.5</v>
      </c>
      <c r="K5" s="22">
        <v>0.6</v>
      </c>
      <c r="L5" s="22">
        <v>16.12</v>
      </c>
      <c r="M5" s="22">
        <v>7.33</v>
      </c>
      <c r="N5" s="22">
        <v>14.22</v>
      </c>
      <c r="O5" s="22">
        <v>0.27</v>
      </c>
      <c r="P5" s="22">
        <v>0.8100000000000001</v>
      </c>
      <c r="Q5" s="22">
        <v>1.72</v>
      </c>
      <c r="R5" s="22"/>
      <c r="S5" s="22">
        <v>10</v>
      </c>
      <c r="T5" s="22"/>
      <c r="U5" s="22">
        <v>239</v>
      </c>
      <c r="V5" s="22">
        <v>186</v>
      </c>
      <c r="W5" s="22">
        <v>0.17</v>
      </c>
      <c r="X5" s="22">
        <v>71</v>
      </c>
      <c r="Y5" s="22"/>
      <c r="Z5" s="22"/>
      <c r="AA5" s="22"/>
      <c r="AB5" s="22"/>
      <c r="AC5" s="22"/>
      <c r="AD5" s="22"/>
      <c r="AE5" s="24"/>
    </row>
    <row r="6" ht="20.2" customHeight="1">
      <c r="A6" t="s" s="14">
        <v>36</v>
      </c>
      <c r="B6" t="s" s="25">
        <v>37</v>
      </c>
      <c r="C6" t="s" s="16">
        <v>33</v>
      </c>
      <c r="D6" s="17"/>
      <c r="E6" s="17"/>
      <c r="F6" s="18">
        <v>14</v>
      </c>
      <c r="G6" s="17">
        <v>142</v>
      </c>
      <c r="H6" s="17">
        <v>71</v>
      </c>
      <c r="I6" s="17">
        <v>181</v>
      </c>
      <c r="J6" s="17"/>
      <c r="K6" s="17">
        <v>31.2</v>
      </c>
      <c r="L6" s="17">
        <v>16.8</v>
      </c>
      <c r="M6" s="17">
        <v>9</v>
      </c>
      <c r="N6" s="17">
        <v>12</v>
      </c>
      <c r="O6" s="17"/>
      <c r="P6" s="17"/>
      <c r="Q6" s="17"/>
      <c r="R6" s="17"/>
      <c r="S6" s="17">
        <v>99</v>
      </c>
      <c r="T6" s="17"/>
      <c r="U6" s="17">
        <v>84</v>
      </c>
      <c r="V6" s="17"/>
      <c r="W6" s="17">
        <v>0.49</v>
      </c>
      <c r="X6" s="17">
        <v>355</v>
      </c>
      <c r="Y6" s="17"/>
      <c r="Z6" s="17"/>
      <c r="AA6" s="17">
        <v>200</v>
      </c>
      <c r="AB6" s="17"/>
      <c r="AC6" s="17"/>
      <c r="AD6" s="17"/>
      <c r="AE6" s="19"/>
    </row>
    <row r="7" ht="20.2" customHeight="1">
      <c r="A7" t="s" s="14">
        <v>38</v>
      </c>
      <c r="B7" s="20"/>
      <c r="C7" t="s" s="21">
        <v>33</v>
      </c>
      <c r="D7" s="22">
        <v>88</v>
      </c>
      <c r="E7" s="22"/>
      <c r="F7" s="23">
        <v>91.7</v>
      </c>
      <c r="G7" s="22">
        <v>105</v>
      </c>
      <c r="H7" s="22">
        <v>118</v>
      </c>
      <c r="I7" s="22">
        <v>38</v>
      </c>
      <c r="J7" s="22"/>
      <c r="K7" s="22">
        <v>1.3</v>
      </c>
      <c r="L7" s="22">
        <v>11.8</v>
      </c>
      <c r="M7" s="22">
        <v>4.6</v>
      </c>
      <c r="N7" s="22">
        <v>11</v>
      </c>
      <c r="O7" s="22">
        <v>0.4</v>
      </c>
      <c r="P7" s="22">
        <v>1.1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4"/>
    </row>
    <row r="8" ht="20.2" customHeight="1">
      <c r="A8" t="s" s="14">
        <v>39</v>
      </c>
      <c r="B8" s="15"/>
      <c r="C8" t="s" s="16">
        <v>33</v>
      </c>
      <c r="D8" s="17">
        <v>88</v>
      </c>
      <c r="E8" s="17">
        <v>2.84</v>
      </c>
      <c r="F8" s="18" cm="1">
        <f t="array" ref="F8">E8*4.184*D8/100</f>
        <v>10.4566528</v>
      </c>
      <c r="G8" s="17">
        <v>88</v>
      </c>
      <c r="H8" s="17"/>
      <c r="I8" s="17">
        <v>9.699999999999999</v>
      </c>
      <c r="J8" s="17"/>
      <c r="K8" s="17">
        <v>7.8</v>
      </c>
      <c r="L8" s="17">
        <v>0.79</v>
      </c>
      <c r="M8" s="17">
        <v>2</v>
      </c>
      <c r="N8" s="17">
        <v>9.800000000000001</v>
      </c>
      <c r="O8" s="17">
        <v>3.08</v>
      </c>
      <c r="P8" s="17">
        <v>1.5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9"/>
    </row>
    <row r="9" ht="20.2" customHeight="1">
      <c r="A9" t="s" s="14">
        <v>40</v>
      </c>
      <c r="B9" s="20"/>
      <c r="C9" t="s" s="21">
        <v>33</v>
      </c>
      <c r="D9" s="22">
        <v>88.3</v>
      </c>
      <c r="E9" s="22">
        <v>2.8</v>
      </c>
      <c r="F9" s="23" cm="1">
        <f t="array" ref="F9">E9*4.184*D9/100</f>
        <v>10.3445216</v>
      </c>
      <c r="G9" s="22">
        <v>88</v>
      </c>
      <c r="H9" s="22"/>
      <c r="I9" s="22">
        <v>9.699999999999999</v>
      </c>
      <c r="J9" s="22"/>
      <c r="K9" s="22">
        <v>7.8</v>
      </c>
      <c r="L9" s="22">
        <v>0.79</v>
      </c>
      <c r="M9" s="22">
        <v>2</v>
      </c>
      <c r="N9" s="22">
        <v>9.800000000000001</v>
      </c>
      <c r="O9" s="22">
        <v>3.09</v>
      </c>
      <c r="P9" s="22">
        <v>1.5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</row>
    <row r="10" ht="20.2" customHeight="1">
      <c r="A10" t="s" s="14">
        <v>41</v>
      </c>
      <c r="B10" s="15"/>
      <c r="C10" t="s" s="16">
        <v>33</v>
      </c>
      <c r="D10" s="17">
        <v>91</v>
      </c>
      <c r="E10" s="17">
        <v>3.26</v>
      </c>
      <c r="F10" s="18" cm="1">
        <f t="array" ref="F10">E10*4.184*D10/100</f>
        <v>12.4122544</v>
      </c>
      <c r="G10" s="17">
        <v>391</v>
      </c>
      <c r="H10" s="17"/>
      <c r="I10" s="17">
        <v>173</v>
      </c>
      <c r="J10" s="17">
        <v>23.4</v>
      </c>
      <c r="K10" s="17">
        <v>2.4</v>
      </c>
      <c r="L10" s="17">
        <v>5.8</v>
      </c>
      <c r="M10" s="17">
        <v>2.3</v>
      </c>
      <c r="N10" s="17">
        <v>18.1</v>
      </c>
      <c r="O10" s="17">
        <v>0.09</v>
      </c>
      <c r="P10" s="17">
        <v>0.5</v>
      </c>
      <c r="Q10" s="17">
        <v>2.9</v>
      </c>
      <c r="R10" s="17"/>
      <c r="S10" s="17">
        <v>15</v>
      </c>
      <c r="T10" s="17"/>
      <c r="U10" s="17">
        <v>142</v>
      </c>
      <c r="V10" s="17">
        <v>29</v>
      </c>
      <c r="W10" s="17">
        <v>0.28</v>
      </c>
      <c r="X10" s="17">
        <v>48</v>
      </c>
      <c r="Y10" s="17"/>
      <c r="Z10" s="17"/>
      <c r="AA10" s="17"/>
      <c r="AB10" s="17"/>
      <c r="AC10" s="17"/>
      <c r="AD10" s="17"/>
      <c r="AE10" s="19"/>
    </row>
    <row r="11" ht="20.2" customHeight="1">
      <c r="A11" t="s" s="14">
        <v>42</v>
      </c>
      <c r="B11" s="20"/>
      <c r="C11" t="s" s="21">
        <v>33</v>
      </c>
      <c r="D11" s="22">
        <v>90</v>
      </c>
      <c r="E11" s="22"/>
      <c r="F11" s="23">
        <v>11.4</v>
      </c>
      <c r="G11" s="22">
        <v>280</v>
      </c>
      <c r="H11" s="22">
        <v>99</v>
      </c>
      <c r="I11" s="22">
        <v>56</v>
      </c>
      <c r="J11" s="22"/>
      <c r="K11" s="22">
        <v>3.8</v>
      </c>
      <c r="L11" s="22">
        <v>8.1</v>
      </c>
      <c r="M11" s="22">
        <v>4.8</v>
      </c>
      <c r="N11" s="22"/>
      <c r="O11" s="22">
        <v>0.9</v>
      </c>
      <c r="P11" s="22">
        <v>0.5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4"/>
    </row>
    <row r="12" ht="20.2" customHeight="1">
      <c r="A12" t="s" s="14">
        <v>43</v>
      </c>
      <c r="B12" s="15"/>
      <c r="C12" t="s" s="16">
        <v>33</v>
      </c>
      <c r="D12" s="17">
        <v>89</v>
      </c>
      <c r="E12" s="17"/>
      <c r="F12" s="18">
        <v>11</v>
      </c>
      <c r="G12" s="17">
        <v>320</v>
      </c>
      <c r="H12" s="17">
        <v>100</v>
      </c>
      <c r="I12" s="17">
        <v>90</v>
      </c>
      <c r="J12" s="17">
        <v>1.2</v>
      </c>
      <c r="K12" s="17">
        <v>0.2</v>
      </c>
      <c r="L12" s="17">
        <v>0.8</v>
      </c>
      <c r="M12" s="17">
        <v>0.4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9"/>
    </row>
    <row r="13" ht="20.2" customHeight="1">
      <c r="A13" t="s" s="26">
        <v>44</v>
      </c>
      <c r="B13" s="27"/>
      <c r="C13" t="s" s="28">
        <v>33</v>
      </c>
      <c r="D13" s="29"/>
      <c r="E13" s="29"/>
      <c r="F13" s="30">
        <v>26.7</v>
      </c>
      <c r="G13" s="29">
        <v>160</v>
      </c>
      <c r="H13" s="29">
        <v>170</v>
      </c>
      <c r="I13" s="29">
        <v>450</v>
      </c>
      <c r="J13" s="29"/>
      <c r="K13" s="29">
        <v>2.8</v>
      </c>
      <c r="L13" s="29">
        <v>5.4</v>
      </c>
      <c r="M13" s="29">
        <v>2.8</v>
      </c>
      <c r="N13" s="29">
        <v>9.1</v>
      </c>
      <c r="O13" s="29">
        <v>0.1</v>
      </c>
      <c r="P13" s="29">
        <v>0.9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31"/>
    </row>
    <row r="14" ht="20.2" customHeight="1">
      <c r="A14" t="s" s="14">
        <v>45</v>
      </c>
      <c r="B14" s="15"/>
      <c r="C14" t="s" s="16">
        <v>33</v>
      </c>
      <c r="D14" s="17">
        <v>92</v>
      </c>
      <c r="E14" s="17"/>
      <c r="F14" s="18">
        <v>7.9</v>
      </c>
      <c r="G14" s="17">
        <v>28</v>
      </c>
      <c r="H14" s="17">
        <v>208</v>
      </c>
      <c r="I14" s="17">
        <v>46</v>
      </c>
      <c r="J14" s="17"/>
      <c r="K14" s="17">
        <v>1.8</v>
      </c>
      <c r="L14" s="17">
        <v>1.4</v>
      </c>
      <c r="M14" s="17"/>
      <c r="N14" s="17">
        <v>12</v>
      </c>
      <c r="O14" s="17">
        <v>0.2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9"/>
    </row>
    <row r="15" ht="20.2" customHeight="1">
      <c r="A15" t="s" s="14">
        <v>46</v>
      </c>
      <c r="B15" t="s" s="32">
        <v>47</v>
      </c>
      <c r="C15" t="s" s="21">
        <v>48</v>
      </c>
      <c r="D15" s="22"/>
      <c r="E15" s="22"/>
      <c r="F15" s="23">
        <v>8.5</v>
      </c>
      <c r="G15" s="22">
        <v>100</v>
      </c>
      <c r="H15" s="22">
        <v>350</v>
      </c>
      <c r="I15" s="22">
        <v>65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4"/>
    </row>
    <row r="16" ht="20.2" customHeight="1">
      <c r="A16" t="s" s="14">
        <v>49</v>
      </c>
      <c r="B16" t="s" s="25">
        <v>47</v>
      </c>
      <c r="C16" t="s" s="16">
        <v>48</v>
      </c>
      <c r="D16" s="17"/>
      <c r="E16" s="17"/>
      <c r="F16" s="18">
        <v>10</v>
      </c>
      <c r="G16" s="17">
        <v>120</v>
      </c>
      <c r="H16" s="17">
        <v>270</v>
      </c>
      <c r="I16" s="17">
        <v>25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9"/>
    </row>
    <row r="17" ht="20.2" customHeight="1">
      <c r="A17" t="s" s="14">
        <v>50</v>
      </c>
      <c r="B17" t="s" s="32">
        <v>47</v>
      </c>
      <c r="C17" t="s" s="21">
        <v>48</v>
      </c>
      <c r="D17" s="22"/>
      <c r="E17" s="22"/>
      <c r="F17" s="23">
        <v>11.5</v>
      </c>
      <c r="G17" s="22">
        <v>140</v>
      </c>
      <c r="H17" s="22">
        <v>270</v>
      </c>
      <c r="I17" s="22">
        <v>85</v>
      </c>
      <c r="J17" s="22"/>
      <c r="K17" s="22"/>
      <c r="L17" s="22"/>
      <c r="M17" s="22"/>
      <c r="N17" s="22"/>
      <c r="O17" s="22"/>
      <c r="P17" s="22"/>
      <c r="Q17" s="22"/>
      <c r="R17" s="22"/>
      <c r="S17" s="22">
        <v>12</v>
      </c>
      <c r="T17" s="22"/>
      <c r="U17" s="22"/>
      <c r="V17" s="22"/>
      <c r="W17" s="22">
        <v>0.25</v>
      </c>
      <c r="X17" s="22">
        <v>64</v>
      </c>
      <c r="Y17" s="22"/>
      <c r="Z17" s="22"/>
      <c r="AA17" s="22"/>
      <c r="AB17" s="22"/>
      <c r="AC17" s="22"/>
      <c r="AD17" s="22"/>
      <c r="AE17" s="24"/>
    </row>
    <row r="18" ht="20.2" customHeight="1">
      <c r="A18" t="s" s="14">
        <v>51</v>
      </c>
      <c r="B18" s="15"/>
      <c r="C18" t="s" s="16">
        <v>48</v>
      </c>
      <c r="D18" s="17">
        <v>90</v>
      </c>
      <c r="E18" s="17"/>
      <c r="F18" s="18">
        <v>10</v>
      </c>
      <c r="G18" s="17">
        <v>200</v>
      </c>
      <c r="H18" s="17">
        <v>220</v>
      </c>
      <c r="I18" s="17">
        <v>22</v>
      </c>
      <c r="J18" s="17"/>
      <c r="K18" s="17">
        <v>19.3</v>
      </c>
      <c r="L18" s="17">
        <v>2.7</v>
      </c>
      <c r="M18" s="17">
        <v>2</v>
      </c>
      <c r="N18" s="17">
        <v>25</v>
      </c>
      <c r="O18" s="17">
        <v>0.6</v>
      </c>
      <c r="P18" s="17">
        <v>4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9"/>
    </row>
    <row r="19" ht="20.2" customHeight="1">
      <c r="A19" t="s" s="14">
        <v>52</v>
      </c>
      <c r="B19" t="s" s="32">
        <v>53</v>
      </c>
      <c r="C19" t="s" s="21">
        <v>48</v>
      </c>
      <c r="D19" s="22"/>
      <c r="E19" s="22"/>
      <c r="F19" s="23"/>
      <c r="G19" s="22">
        <v>100</v>
      </c>
      <c r="H19" s="22">
        <v>260</v>
      </c>
      <c r="I19" s="22">
        <v>155</v>
      </c>
      <c r="J19" s="22"/>
      <c r="K19" s="22">
        <v>9</v>
      </c>
      <c r="L19" s="22">
        <v>2</v>
      </c>
      <c r="M19" s="22">
        <v>2</v>
      </c>
      <c r="N19" s="22"/>
      <c r="O19" s="22">
        <v>1.5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4"/>
    </row>
    <row r="20" ht="20.2" customHeight="1">
      <c r="A20" t="s" s="14">
        <v>54</v>
      </c>
      <c r="B20" s="15"/>
      <c r="C20" t="s" s="16">
        <v>48</v>
      </c>
      <c r="D20" s="17">
        <v>89</v>
      </c>
      <c r="E20" s="17"/>
      <c r="F20" s="18">
        <v>9.5</v>
      </c>
      <c r="G20" s="17">
        <v>138</v>
      </c>
      <c r="H20" s="17">
        <v>292</v>
      </c>
      <c r="I20" s="17">
        <v>21</v>
      </c>
      <c r="J20" s="17">
        <v>5.4</v>
      </c>
      <c r="K20" s="17">
        <v>10.4</v>
      </c>
      <c r="L20" s="17">
        <v>2.1</v>
      </c>
      <c r="M20" s="17">
        <v>1.5</v>
      </c>
      <c r="N20" s="17">
        <v>25.5</v>
      </c>
      <c r="O20" s="17">
        <v>0.8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9"/>
    </row>
    <row r="21" ht="20.2" customHeight="1">
      <c r="A21" t="s" s="14">
        <v>55</v>
      </c>
      <c r="B21" s="20"/>
      <c r="C21" t="s" s="21">
        <v>48</v>
      </c>
      <c r="D21" s="22">
        <v>88</v>
      </c>
      <c r="E21" s="22"/>
      <c r="F21" s="23">
        <v>7.8</v>
      </c>
      <c r="G21" s="22">
        <v>134</v>
      </c>
      <c r="H21" s="22">
        <v>339</v>
      </c>
      <c r="I21" s="22">
        <v>39</v>
      </c>
      <c r="J21" s="22">
        <v>5.2</v>
      </c>
      <c r="K21" s="22">
        <v>8.33</v>
      </c>
      <c r="L21" s="22">
        <v>2.4</v>
      </c>
      <c r="M21" s="22">
        <v>2.6</v>
      </c>
      <c r="N21" s="22">
        <v>25.9</v>
      </c>
      <c r="O21" s="22">
        <v>1.4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4"/>
    </row>
    <row r="22" ht="20.2" customHeight="1">
      <c r="A22" t="s" s="14">
        <v>56</v>
      </c>
      <c r="B22" s="15"/>
      <c r="C22" t="s" s="16">
        <v>48</v>
      </c>
      <c r="D22" s="17">
        <v>86</v>
      </c>
      <c r="E22" s="17"/>
      <c r="F22" s="18">
        <v>8.6</v>
      </c>
      <c r="G22" s="17">
        <v>98</v>
      </c>
      <c r="H22" s="17">
        <v>292</v>
      </c>
      <c r="I22" s="17">
        <v>15</v>
      </c>
      <c r="J22" s="17"/>
      <c r="K22" s="17">
        <v>13.5</v>
      </c>
      <c r="L22" s="17">
        <v>2.2</v>
      </c>
      <c r="M22" s="17">
        <v>2</v>
      </c>
      <c r="N22" s="17">
        <v>23</v>
      </c>
      <c r="O22" s="17">
        <v>0.4</v>
      </c>
      <c r="P22" s="17">
        <v>4.3</v>
      </c>
      <c r="Q22" s="17"/>
      <c r="R22" s="17"/>
      <c r="S22" s="17"/>
      <c r="T22" s="17"/>
      <c r="U22" s="17"/>
      <c r="V22" s="17"/>
      <c r="W22" s="17"/>
      <c r="X22" s="17"/>
      <c r="Y22" s="17"/>
      <c r="Z22" s="17">
        <v>330</v>
      </c>
      <c r="AA22" s="17"/>
      <c r="AB22" s="17"/>
      <c r="AC22" s="17"/>
      <c r="AD22" s="17"/>
      <c r="AE22" s="19"/>
    </row>
    <row r="23" ht="20.2" customHeight="1">
      <c r="A23" t="s" s="14">
        <v>57</v>
      </c>
      <c r="B23" s="20"/>
      <c r="C23" t="s" s="21">
        <v>48</v>
      </c>
      <c r="D23" s="22"/>
      <c r="E23" s="22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4"/>
    </row>
    <row r="24" ht="20.2" customHeight="1">
      <c r="A24" t="s" s="14">
        <v>58</v>
      </c>
      <c r="B24" s="15"/>
      <c r="C24" t="s" s="16">
        <v>59</v>
      </c>
      <c r="D24" s="17"/>
      <c r="E24" s="17"/>
      <c r="F24" s="18">
        <v>10.1</v>
      </c>
      <c r="G24" s="17">
        <v>119</v>
      </c>
      <c r="H24" s="17">
        <v>110</v>
      </c>
      <c r="I24" s="17">
        <v>156</v>
      </c>
      <c r="J24" s="17"/>
      <c r="K24" s="17">
        <v>5</v>
      </c>
      <c r="L24" s="17">
        <v>3</v>
      </c>
      <c r="M24" s="17"/>
      <c r="N24" s="17"/>
      <c r="O24" s="17">
        <v>2</v>
      </c>
      <c r="P24" s="17"/>
      <c r="Q24" s="17"/>
      <c r="R24" s="17"/>
      <c r="S24" s="17"/>
      <c r="T24" s="17"/>
      <c r="U24" s="17"/>
      <c r="V24" s="17"/>
      <c r="W24" s="17"/>
      <c r="X24" s="17"/>
      <c r="Y24" s="17">
        <v>2818</v>
      </c>
      <c r="Z24" s="17">
        <v>468</v>
      </c>
      <c r="AA24" s="17">
        <v>48</v>
      </c>
      <c r="AB24" s="17"/>
      <c r="AC24" s="17"/>
      <c r="AD24" s="17"/>
      <c r="AE24" s="19"/>
    </row>
    <row r="25" ht="20.2" customHeight="1">
      <c r="A25" t="s" s="14">
        <v>60</v>
      </c>
      <c r="B25" s="20"/>
      <c r="C25" t="s" s="21">
        <v>59</v>
      </c>
      <c r="D25" s="22"/>
      <c r="E25" s="22"/>
      <c r="F25" s="23">
        <v>9.869999999999999</v>
      </c>
      <c r="G25" s="22">
        <v>105</v>
      </c>
      <c r="H25" s="22">
        <v>132</v>
      </c>
      <c r="I25" s="22">
        <v>14</v>
      </c>
      <c r="J25" s="22"/>
      <c r="K25" s="22">
        <v>11</v>
      </c>
      <c r="L25" s="22">
        <v>5</v>
      </c>
      <c r="M25" s="22"/>
      <c r="N25" s="22"/>
      <c r="O25" s="22">
        <v>5</v>
      </c>
      <c r="P25" s="22"/>
      <c r="Q25" s="22"/>
      <c r="R25" s="22"/>
      <c r="S25" s="22"/>
      <c r="T25" s="22"/>
      <c r="U25" s="22"/>
      <c r="V25" s="22"/>
      <c r="W25" s="22"/>
      <c r="X25" s="22"/>
      <c r="Y25" s="22">
        <v>15000</v>
      </c>
      <c r="Z25" s="22">
        <v>3000</v>
      </c>
      <c r="AA25" s="22">
        <v>45</v>
      </c>
      <c r="AB25" s="22"/>
      <c r="AC25" s="22"/>
      <c r="AD25" s="22"/>
      <c r="AE25" s="24"/>
    </row>
    <row r="26" ht="20.2" customHeight="1">
      <c r="A26" t="s" s="14">
        <v>61</v>
      </c>
      <c r="B26" s="15"/>
      <c r="C26" t="s" s="16">
        <v>48</v>
      </c>
      <c r="D26" s="17">
        <v>86</v>
      </c>
      <c r="E26" s="17"/>
      <c r="F26" s="18">
        <v>7</v>
      </c>
      <c r="G26" s="17">
        <v>101</v>
      </c>
      <c r="H26" s="17">
        <v>288</v>
      </c>
      <c r="I26" s="17">
        <v>24</v>
      </c>
      <c r="J26" s="17"/>
      <c r="K26" s="17">
        <v>14.6</v>
      </c>
      <c r="L26" s="17">
        <v>2</v>
      </c>
      <c r="M26" s="17">
        <v>2.3</v>
      </c>
      <c r="N26" s="17">
        <v>20</v>
      </c>
      <c r="O26" s="17">
        <v>0.4</v>
      </c>
      <c r="P26" s="17">
        <v>4.3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9"/>
    </row>
    <row r="27" ht="20.2" customHeight="1">
      <c r="A27" t="s" s="14">
        <v>62</v>
      </c>
      <c r="B27" s="20"/>
      <c r="C27" t="s" s="21">
        <v>48</v>
      </c>
      <c r="D27" s="22">
        <v>89</v>
      </c>
      <c r="E27" s="22"/>
      <c r="F27" s="23">
        <v>9.199999999999999</v>
      </c>
      <c r="G27" s="22">
        <v>118</v>
      </c>
      <c r="H27" s="22">
        <v>234</v>
      </c>
      <c r="I27" s="22">
        <v>30.6</v>
      </c>
      <c r="J27" s="22"/>
      <c r="K27" s="22">
        <v>5.4</v>
      </c>
      <c r="L27" s="22">
        <v>3.11</v>
      </c>
      <c r="M27" s="22">
        <v>2.62</v>
      </c>
      <c r="N27" s="22">
        <v>30.4</v>
      </c>
      <c r="O27" s="22">
        <v>1.11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4"/>
    </row>
    <row r="28" ht="20.2" customHeight="1">
      <c r="A28" t="s" s="14">
        <v>63</v>
      </c>
      <c r="B28" s="15"/>
      <c r="C28" t="s" s="16">
        <v>48</v>
      </c>
      <c r="D28" s="17">
        <v>90</v>
      </c>
      <c r="E28" s="17"/>
      <c r="F28" s="18">
        <v>9.5</v>
      </c>
      <c r="G28" s="17">
        <v>100</v>
      </c>
      <c r="H28" s="17">
        <v>250</v>
      </c>
      <c r="I28" s="17">
        <v>25</v>
      </c>
      <c r="J28" s="17"/>
      <c r="K28" s="17">
        <v>6.8</v>
      </c>
      <c r="L28" s="17">
        <v>2.2</v>
      </c>
      <c r="M28" s="17">
        <v>1.5</v>
      </c>
      <c r="N28" s="17">
        <v>18</v>
      </c>
      <c r="O28" s="17">
        <v>0.6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9"/>
    </row>
    <row r="29" ht="20.2" customHeight="1">
      <c r="A29" t="s" s="14">
        <v>64</v>
      </c>
      <c r="B29" s="20"/>
      <c r="C29" t="s" s="21">
        <v>48</v>
      </c>
      <c r="D29" s="22"/>
      <c r="E29" s="22"/>
      <c r="F29" s="23">
        <v>8.5</v>
      </c>
      <c r="G29" s="22">
        <v>93</v>
      </c>
      <c r="H29" s="22">
        <v>257</v>
      </c>
      <c r="I29" s="22">
        <v>28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4"/>
    </row>
    <row r="30" ht="20.2" customHeight="1">
      <c r="A30" t="s" s="14">
        <v>65</v>
      </c>
      <c r="B30" s="15"/>
      <c r="C30" t="s" s="16">
        <v>48</v>
      </c>
      <c r="D30" s="17">
        <v>84.3</v>
      </c>
      <c r="E30" s="17">
        <v>2.35</v>
      </c>
      <c r="F30" s="18" cm="1">
        <f t="array" ref="F30">E30*4.184*D30/100</f>
        <v>8.2887132</v>
      </c>
      <c r="G30" s="17">
        <v>74</v>
      </c>
      <c r="H30" s="17">
        <v>207</v>
      </c>
      <c r="I30" s="17">
        <v>24</v>
      </c>
      <c r="J30" s="17">
        <v>2</v>
      </c>
      <c r="K30" s="17">
        <v>4.7</v>
      </c>
      <c r="L30" s="17">
        <v>3.6</v>
      </c>
      <c r="M30" s="17"/>
      <c r="N30" s="17"/>
      <c r="O30" s="17">
        <v>0.5</v>
      </c>
      <c r="P30" s="17">
        <v>6.7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9"/>
    </row>
    <row r="31" ht="20.2" customHeight="1">
      <c r="A31" t="s" s="14">
        <v>66</v>
      </c>
      <c r="B31" s="20"/>
      <c r="C31" t="s" s="21">
        <v>48</v>
      </c>
      <c r="D31" s="22">
        <v>86</v>
      </c>
      <c r="E31" s="22">
        <v>2.35</v>
      </c>
      <c r="F31" s="23">
        <v>7</v>
      </c>
      <c r="G31" s="22">
        <v>69</v>
      </c>
      <c r="H31" s="22">
        <v>275</v>
      </c>
      <c r="I31" s="22">
        <v>22</v>
      </c>
      <c r="J31" s="22">
        <v>2</v>
      </c>
      <c r="K31" s="22">
        <v>3.9</v>
      </c>
      <c r="L31" s="22">
        <v>2.4</v>
      </c>
      <c r="M31" s="22">
        <v>1.5</v>
      </c>
      <c r="N31" s="22">
        <v>15.5</v>
      </c>
      <c r="O31" s="22">
        <v>0.5</v>
      </c>
      <c r="P31" s="22">
        <v>6.7</v>
      </c>
      <c r="Q31" s="22"/>
      <c r="R31" s="22"/>
      <c r="S31" s="22">
        <v>8</v>
      </c>
      <c r="T31" s="22"/>
      <c r="U31" s="22"/>
      <c r="V31" s="22"/>
      <c r="W31" s="22">
        <v>0.05</v>
      </c>
      <c r="X31" s="22">
        <v>30</v>
      </c>
      <c r="Y31" s="22">
        <v>6000</v>
      </c>
      <c r="Z31" s="22">
        <v>750</v>
      </c>
      <c r="AA31" s="22">
        <v>60</v>
      </c>
      <c r="AB31" s="22"/>
      <c r="AC31" s="22"/>
      <c r="AD31" s="22"/>
      <c r="AE31" s="24"/>
    </row>
    <row r="32" ht="32.2" customHeight="1">
      <c r="A32" t="s" s="14">
        <v>67</v>
      </c>
      <c r="B32" s="15"/>
      <c r="C32" t="s" s="16">
        <v>48</v>
      </c>
      <c r="D32" s="17">
        <v>47</v>
      </c>
      <c r="E32" s="17">
        <v>2.34</v>
      </c>
      <c r="F32" s="18" cm="1">
        <f t="array" ref="F32">E32*4.184*D32/100</f>
        <v>4.6015632</v>
      </c>
      <c r="G32" s="17">
        <v>85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9"/>
    </row>
    <row r="33" ht="32.2" customHeight="1">
      <c r="A33" t="s" s="14">
        <v>68</v>
      </c>
      <c r="B33" s="20"/>
      <c r="C33" t="s" s="21">
        <v>48</v>
      </c>
      <c r="D33" s="22">
        <v>38</v>
      </c>
      <c r="E33" s="22">
        <v>2.01</v>
      </c>
      <c r="F33" s="23" cm="1">
        <f t="array" ref="F33">E33*4.184*D33/100</f>
        <v>3.1957392</v>
      </c>
      <c r="G33" s="22">
        <v>59.3</v>
      </c>
      <c r="H33" s="22"/>
      <c r="I33" s="22">
        <v>10</v>
      </c>
      <c r="J33" s="22"/>
      <c r="K33" s="22">
        <v>4.9</v>
      </c>
      <c r="L33" s="22">
        <v>1.14</v>
      </c>
      <c r="M33" s="22">
        <v>1.14</v>
      </c>
      <c r="N33" s="22">
        <v>9.16</v>
      </c>
      <c r="O33" s="22">
        <v>0.11</v>
      </c>
      <c r="P33" s="22">
        <v>2.28</v>
      </c>
      <c r="Q33" s="22">
        <v>0.76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4"/>
    </row>
    <row r="34" ht="32.2" customHeight="1">
      <c r="A34" t="s" s="14">
        <v>69</v>
      </c>
      <c r="B34" t="s" s="33">
        <v>70</v>
      </c>
      <c r="C34" t="s" s="16">
        <v>33</v>
      </c>
      <c r="D34" s="17"/>
      <c r="E34" s="17"/>
      <c r="F34" s="18">
        <v>13.8</v>
      </c>
      <c r="G34" s="17">
        <v>125</v>
      </c>
      <c r="H34" s="17">
        <v>132</v>
      </c>
      <c r="I34" s="17">
        <v>96</v>
      </c>
      <c r="J34" s="17">
        <v>3.8</v>
      </c>
      <c r="K34" s="17">
        <v>9</v>
      </c>
      <c r="L34" s="17">
        <v>4.3</v>
      </c>
      <c r="M34" s="17">
        <v>2.8</v>
      </c>
      <c r="N34" s="17">
        <v>9.699999999999999</v>
      </c>
      <c r="O34" s="17">
        <v>7.7</v>
      </c>
      <c r="P34" s="17">
        <v>13</v>
      </c>
      <c r="Q34" s="17"/>
      <c r="R34" s="17"/>
      <c r="S34" s="17">
        <v>30</v>
      </c>
      <c r="T34" s="17">
        <v>2.4</v>
      </c>
      <c r="U34" s="17">
        <v>204</v>
      </c>
      <c r="V34" s="17">
        <v>127</v>
      </c>
      <c r="W34" s="17">
        <v>0.6</v>
      </c>
      <c r="X34" s="17">
        <v>120</v>
      </c>
      <c r="Y34" s="17">
        <v>25000</v>
      </c>
      <c r="Z34" s="17">
        <v>2500</v>
      </c>
      <c r="AA34" s="17">
        <v>500</v>
      </c>
      <c r="AB34" s="17">
        <v>1.66</v>
      </c>
      <c r="AC34" s="17">
        <v>4.16</v>
      </c>
      <c r="AD34" s="17"/>
      <c r="AE34" s="19">
        <v>800</v>
      </c>
    </row>
    <row r="35" ht="20.2" customHeight="1">
      <c r="A35" t="s" s="14">
        <v>71</v>
      </c>
      <c r="B35" t="s" s="32">
        <v>72</v>
      </c>
      <c r="C35" t="s" s="21">
        <v>33</v>
      </c>
      <c r="D35" s="22"/>
      <c r="E35" s="22"/>
      <c r="F35" s="23">
        <v>11</v>
      </c>
      <c r="G35" s="22">
        <v>130</v>
      </c>
      <c r="H35" s="22">
        <v>252</v>
      </c>
      <c r="I35" s="22">
        <v>102</v>
      </c>
      <c r="J35" s="22"/>
      <c r="K35" s="22">
        <v>10.5</v>
      </c>
      <c r="L35" s="22">
        <v>5.9</v>
      </c>
      <c r="M35" s="22"/>
      <c r="N35" s="22"/>
      <c r="O35" s="22">
        <v>4.2</v>
      </c>
      <c r="P35" s="22"/>
      <c r="Q35" s="22"/>
      <c r="R35" s="22">
        <v>0.6</v>
      </c>
      <c r="S35" s="22">
        <v>38</v>
      </c>
      <c r="T35" s="22">
        <v>1</v>
      </c>
      <c r="U35" s="22">
        <v>19</v>
      </c>
      <c r="V35" s="22">
        <v>78</v>
      </c>
      <c r="W35" s="22">
        <v>0.52</v>
      </c>
      <c r="X35" s="22">
        <v>162</v>
      </c>
      <c r="Y35" s="22">
        <v>17111</v>
      </c>
      <c r="Z35" s="22">
        <v>2544</v>
      </c>
      <c r="AA35" s="22">
        <v>409</v>
      </c>
      <c r="AB35" s="22"/>
      <c r="AC35" s="22"/>
      <c r="AD35" s="22"/>
      <c r="AE35" s="24"/>
    </row>
    <row r="36" ht="20.2" customHeight="1">
      <c r="A36" t="s" s="14">
        <v>73</v>
      </c>
      <c r="B36" t="s" s="25">
        <v>74</v>
      </c>
      <c r="C36" t="s" s="16">
        <v>33</v>
      </c>
      <c r="D36" s="17"/>
      <c r="E36" s="17"/>
      <c r="F36" s="18"/>
      <c r="G36" s="17">
        <v>115</v>
      </c>
      <c r="H36" s="17">
        <v>205</v>
      </c>
      <c r="I36" s="17">
        <v>100</v>
      </c>
      <c r="J36" s="17">
        <v>5.5</v>
      </c>
      <c r="K36" s="17">
        <v>8</v>
      </c>
      <c r="L36" s="17">
        <v>4</v>
      </c>
      <c r="M36" s="17"/>
      <c r="N36" s="17"/>
      <c r="O36" s="17">
        <v>8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9"/>
    </row>
    <row r="37" ht="20.2" customHeight="1">
      <c r="A37" t="s" s="14">
        <v>75</v>
      </c>
      <c r="B37" t="s" s="32">
        <v>76</v>
      </c>
      <c r="C37" t="s" s="21">
        <v>33</v>
      </c>
      <c r="D37" s="22"/>
      <c r="E37" s="22"/>
      <c r="F37" s="23">
        <v>9</v>
      </c>
      <c r="G37" s="22">
        <v>130</v>
      </c>
      <c r="H37" s="22">
        <v>140</v>
      </c>
      <c r="I37" s="22">
        <v>50</v>
      </c>
      <c r="J37" s="22"/>
      <c r="K37" s="22">
        <v>12</v>
      </c>
      <c r="L37" s="22">
        <v>3.5</v>
      </c>
      <c r="M37" s="22">
        <v>3</v>
      </c>
      <c r="N37" s="22"/>
      <c r="O37" s="22"/>
      <c r="P37" s="22"/>
      <c r="Q37" s="22"/>
      <c r="R37" s="22">
        <v>1.1</v>
      </c>
      <c r="S37" s="22">
        <v>50</v>
      </c>
      <c r="T37" s="22">
        <v>0.7</v>
      </c>
      <c r="U37" s="22">
        <v>280</v>
      </c>
      <c r="V37" s="22">
        <v>150</v>
      </c>
      <c r="W37" s="22">
        <v>0.6</v>
      </c>
      <c r="X37" s="22">
        <v>195</v>
      </c>
      <c r="Y37" s="22">
        <v>10000</v>
      </c>
      <c r="Z37" s="22"/>
      <c r="AA37" s="22">
        <v>100</v>
      </c>
      <c r="AB37" s="22"/>
      <c r="AC37" s="22"/>
      <c r="AD37" s="22"/>
      <c r="AE37" s="24"/>
    </row>
    <row r="38" ht="20.2" customHeight="1">
      <c r="A38" t="s" s="14">
        <v>77</v>
      </c>
      <c r="B38" t="s" s="25">
        <v>76</v>
      </c>
      <c r="C38" t="s" s="16">
        <v>33</v>
      </c>
      <c r="D38" s="17"/>
      <c r="E38" s="17"/>
      <c r="F38" s="18">
        <v>11.8</v>
      </c>
      <c r="G38" s="17">
        <v>110</v>
      </c>
      <c r="H38" s="17">
        <v>85</v>
      </c>
      <c r="I38" s="17">
        <v>60</v>
      </c>
      <c r="J38" s="17"/>
      <c r="K38" s="17">
        <v>7</v>
      </c>
      <c r="L38" s="17">
        <v>5</v>
      </c>
      <c r="M38" s="17">
        <v>2.5</v>
      </c>
      <c r="N38" s="17"/>
      <c r="O38" s="17"/>
      <c r="P38" s="17"/>
      <c r="Q38" s="17"/>
      <c r="R38" s="17">
        <v>0.8</v>
      </c>
      <c r="S38" s="17">
        <v>20</v>
      </c>
      <c r="T38" s="17">
        <v>1.2</v>
      </c>
      <c r="U38" s="17">
        <v>80</v>
      </c>
      <c r="V38" s="17">
        <v>80</v>
      </c>
      <c r="W38" s="17">
        <v>0.5</v>
      </c>
      <c r="X38" s="17">
        <v>150</v>
      </c>
      <c r="Y38" s="17">
        <v>12000</v>
      </c>
      <c r="Z38" s="17">
        <v>1500</v>
      </c>
      <c r="AA38" s="17">
        <v>160</v>
      </c>
      <c r="AB38" s="17"/>
      <c r="AC38" s="17"/>
      <c r="AD38" s="17"/>
      <c r="AE38" s="19"/>
    </row>
    <row r="39" ht="20.2" customHeight="1">
      <c r="A39" t="s" s="14">
        <v>78</v>
      </c>
      <c r="B39" t="s" s="32">
        <v>76</v>
      </c>
      <c r="C39" t="s" s="21">
        <v>33</v>
      </c>
      <c r="D39" s="22"/>
      <c r="E39" s="22"/>
      <c r="F39" s="23">
        <v>11.8</v>
      </c>
      <c r="G39" s="22">
        <v>90</v>
      </c>
      <c r="H39" s="22">
        <v>75</v>
      </c>
      <c r="I39" s="22">
        <v>33</v>
      </c>
      <c r="J39" s="22"/>
      <c r="K39" s="22">
        <v>17</v>
      </c>
      <c r="L39" s="22">
        <v>6</v>
      </c>
      <c r="M39" s="22">
        <v>4.5</v>
      </c>
      <c r="N39" s="22"/>
      <c r="O39" s="22">
        <v>4</v>
      </c>
      <c r="P39" s="22"/>
      <c r="Q39" s="22"/>
      <c r="R39" s="22">
        <v>1</v>
      </c>
      <c r="S39" s="22">
        <v>55</v>
      </c>
      <c r="T39" s="22">
        <v>1.5</v>
      </c>
      <c r="U39" s="22">
        <v>400</v>
      </c>
      <c r="V39" s="22">
        <v>260</v>
      </c>
      <c r="W39" s="22">
        <v>0.9</v>
      </c>
      <c r="X39" s="22">
        <v>320</v>
      </c>
      <c r="Y39" s="22">
        <v>40000</v>
      </c>
      <c r="Z39" s="22">
        <v>4400</v>
      </c>
      <c r="AA39" s="22">
        <v>1000</v>
      </c>
      <c r="AB39" s="22">
        <v>25</v>
      </c>
      <c r="AC39" s="22">
        <v>25</v>
      </c>
      <c r="AD39" s="22"/>
      <c r="AE39" s="24"/>
    </row>
    <row r="40" ht="32.2" customHeight="1">
      <c r="A40" t="s" s="14">
        <v>79</v>
      </c>
      <c r="B40" t="s" s="25">
        <v>80</v>
      </c>
      <c r="C40" t="s" s="16">
        <v>48</v>
      </c>
      <c r="D40" s="17"/>
      <c r="E40" s="17"/>
      <c r="F40" s="18">
        <v>9.9</v>
      </c>
      <c r="G40" s="17">
        <v>110</v>
      </c>
      <c r="H40" s="17">
        <v>180</v>
      </c>
      <c r="I40" s="17">
        <v>50</v>
      </c>
      <c r="J40" s="17"/>
      <c r="K40" s="17">
        <v>6</v>
      </c>
      <c r="L40" s="17">
        <v>3.5</v>
      </c>
      <c r="M40" s="17">
        <v>2.5</v>
      </c>
      <c r="N40" s="17"/>
      <c r="O40" s="17">
        <v>0.5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9"/>
    </row>
    <row r="41" ht="20.2" customHeight="1">
      <c r="A41" t="s" s="14">
        <v>81</v>
      </c>
      <c r="B41" t="s" s="32">
        <v>82</v>
      </c>
      <c r="C41" t="s" s="21">
        <v>83</v>
      </c>
      <c r="D41" s="22"/>
      <c r="E41" s="22"/>
      <c r="F41" s="23">
        <v>10.9</v>
      </c>
      <c r="G41" s="22">
        <v>120</v>
      </c>
      <c r="H41" s="22">
        <v>155</v>
      </c>
      <c r="I41" s="22">
        <v>60</v>
      </c>
      <c r="J41" s="22"/>
      <c r="K41" s="22">
        <v>1.1</v>
      </c>
      <c r="L41" s="22">
        <v>0.45</v>
      </c>
      <c r="M41" s="22">
        <v>0.35</v>
      </c>
      <c r="N41" s="22"/>
      <c r="O41" s="22">
        <v>0.41</v>
      </c>
      <c r="P41" s="22"/>
      <c r="Q41" s="22"/>
      <c r="R41" s="22">
        <v>0.31</v>
      </c>
      <c r="S41" s="22">
        <v>22</v>
      </c>
      <c r="T41" s="22">
        <v>0.5</v>
      </c>
      <c r="U41" s="22">
        <v>43</v>
      </c>
      <c r="V41" s="22">
        <v>41</v>
      </c>
      <c r="W41" s="22">
        <v>0.28</v>
      </c>
      <c r="X41" s="22">
        <v>85</v>
      </c>
      <c r="Y41" s="22">
        <v>13000</v>
      </c>
      <c r="Z41" s="22">
        <v>1600</v>
      </c>
      <c r="AA41" s="22">
        <v>190</v>
      </c>
      <c r="AB41" s="22"/>
      <c r="AC41" s="22"/>
      <c r="AD41" s="22"/>
      <c r="AE41" s="24"/>
    </row>
    <row r="42" ht="20.2" customHeight="1">
      <c r="A42" t="s" s="14">
        <v>84</v>
      </c>
      <c r="B42" t="s" s="25">
        <v>80</v>
      </c>
      <c r="C42" t="s" s="16">
        <v>33</v>
      </c>
      <c r="D42" s="17"/>
      <c r="E42" s="17"/>
      <c r="F42" s="18">
        <v>12</v>
      </c>
      <c r="G42" s="17">
        <v>100</v>
      </c>
      <c r="H42" s="17">
        <v>140</v>
      </c>
      <c r="I42" s="17">
        <v>35</v>
      </c>
      <c r="J42" s="17"/>
      <c r="K42" s="17">
        <v>10</v>
      </c>
      <c r="L42" s="17">
        <v>5.5</v>
      </c>
      <c r="M42" s="17">
        <v>3</v>
      </c>
      <c r="N42" s="17"/>
      <c r="O42" s="17">
        <v>2</v>
      </c>
      <c r="P42" s="17"/>
      <c r="Q42" s="17"/>
      <c r="R42" s="17">
        <v>0.6</v>
      </c>
      <c r="S42" s="17">
        <v>15</v>
      </c>
      <c r="T42" s="17">
        <v>0.1</v>
      </c>
      <c r="U42" s="17">
        <v>50</v>
      </c>
      <c r="V42" s="17">
        <v>50</v>
      </c>
      <c r="W42" s="17">
        <v>0.8</v>
      </c>
      <c r="X42" s="17">
        <v>100</v>
      </c>
      <c r="Y42" s="17">
        <v>15000</v>
      </c>
      <c r="Z42" s="17">
        <v>1600</v>
      </c>
      <c r="AA42" s="17">
        <v>70</v>
      </c>
      <c r="AB42" s="17">
        <v>10</v>
      </c>
      <c r="AC42" s="17">
        <v>10</v>
      </c>
      <c r="AD42" s="17"/>
      <c r="AE42" s="19"/>
    </row>
    <row r="43" ht="32.2" customHeight="1">
      <c r="A43" t="s" s="14">
        <v>85</v>
      </c>
      <c r="B43" t="s" s="32">
        <v>80</v>
      </c>
      <c r="C43" t="s" s="21">
        <v>33</v>
      </c>
      <c r="D43" s="22"/>
      <c r="E43" s="22"/>
      <c r="F43" s="23">
        <v>11</v>
      </c>
      <c r="G43" s="22">
        <v>105</v>
      </c>
      <c r="H43" s="22">
        <v>84</v>
      </c>
      <c r="I43" s="22">
        <v>55</v>
      </c>
      <c r="J43" s="22">
        <v>6</v>
      </c>
      <c r="K43" s="22">
        <v>12</v>
      </c>
      <c r="L43" s="22">
        <v>4</v>
      </c>
      <c r="M43" s="22">
        <v>4</v>
      </c>
      <c r="N43" s="22"/>
      <c r="O43" s="22">
        <v>4.5</v>
      </c>
      <c r="P43" s="22"/>
      <c r="Q43" s="22"/>
      <c r="R43" s="22">
        <v>3</v>
      </c>
      <c r="S43" s="22">
        <v>46</v>
      </c>
      <c r="T43" s="22">
        <v>1.8</v>
      </c>
      <c r="U43" s="22">
        <v>20</v>
      </c>
      <c r="V43" s="22">
        <v>161</v>
      </c>
      <c r="W43" s="22">
        <v>0.6</v>
      </c>
      <c r="X43" s="22">
        <v>200</v>
      </c>
      <c r="Y43" s="22">
        <v>20000</v>
      </c>
      <c r="Z43" s="22">
        <v>2200</v>
      </c>
      <c r="AA43" s="22">
        <v>350</v>
      </c>
      <c r="AB43" s="22">
        <v>13</v>
      </c>
      <c r="AC43" s="22">
        <v>13</v>
      </c>
      <c r="AD43" s="22"/>
      <c r="AE43" s="24"/>
    </row>
    <row r="44" ht="20.2" customHeight="1">
      <c r="A44" t="s" s="14">
        <v>86</v>
      </c>
      <c r="B44" t="s" s="25">
        <v>87</v>
      </c>
      <c r="C44" t="s" s="16">
        <v>33</v>
      </c>
      <c r="D44" s="17"/>
      <c r="E44" s="17"/>
      <c r="F44" s="18">
        <v>9.6</v>
      </c>
      <c r="G44" s="17">
        <v>120</v>
      </c>
      <c r="H44" s="17">
        <v>160</v>
      </c>
      <c r="I44" s="17">
        <v>48</v>
      </c>
      <c r="J44" s="17"/>
      <c r="K44" s="17">
        <v>12</v>
      </c>
      <c r="L44" s="17">
        <v>4.5</v>
      </c>
      <c r="M44" s="17">
        <v>2</v>
      </c>
      <c r="N44" s="17"/>
      <c r="O44" s="17">
        <v>3</v>
      </c>
      <c r="P44" s="17"/>
      <c r="Q44" s="17"/>
      <c r="R44" s="17">
        <v>1</v>
      </c>
      <c r="S44" s="17">
        <v>30</v>
      </c>
      <c r="T44" s="17">
        <v>0.5</v>
      </c>
      <c r="U44" s="17">
        <v>50</v>
      </c>
      <c r="V44" s="17">
        <v>100</v>
      </c>
      <c r="W44" s="17">
        <v>0.5</v>
      </c>
      <c r="X44" s="17">
        <v>150</v>
      </c>
      <c r="Y44" s="17">
        <v>9280</v>
      </c>
      <c r="Z44" s="17">
        <v>1000</v>
      </c>
      <c r="AA44" s="17">
        <v>150</v>
      </c>
      <c r="AB44" s="17"/>
      <c r="AC44" s="17"/>
      <c r="AD44" s="17"/>
      <c r="AE44" s="19"/>
    </row>
    <row r="45" ht="20.2" customHeight="1">
      <c r="A45" t="s" s="14">
        <v>88</v>
      </c>
      <c r="B45" t="s" s="32">
        <v>89</v>
      </c>
      <c r="C45" t="s" s="21">
        <v>33</v>
      </c>
      <c r="D45" s="22"/>
      <c r="E45" s="22"/>
      <c r="F45" s="23">
        <v>11.6</v>
      </c>
      <c r="G45" s="22">
        <v>170</v>
      </c>
      <c r="H45" s="22">
        <v>99</v>
      </c>
      <c r="I45" s="22">
        <v>43</v>
      </c>
      <c r="J45" s="22"/>
      <c r="K45" s="22">
        <v>13</v>
      </c>
      <c r="L45" s="22">
        <v>8.5</v>
      </c>
      <c r="M45" s="22">
        <v>4</v>
      </c>
      <c r="N45" s="22"/>
      <c r="O45" s="22">
        <v>3.5</v>
      </c>
      <c r="P45" s="22"/>
      <c r="Q45" s="22"/>
      <c r="R45" s="22">
        <v>0.7</v>
      </c>
      <c r="S45" s="22">
        <v>28</v>
      </c>
      <c r="T45" s="22">
        <v>1.2</v>
      </c>
      <c r="U45" s="22">
        <v>106</v>
      </c>
      <c r="V45" s="22">
        <v>142</v>
      </c>
      <c r="W45" s="22">
        <v>1</v>
      </c>
      <c r="X45" s="22">
        <v>213</v>
      </c>
      <c r="Y45" s="22">
        <v>21500</v>
      </c>
      <c r="Z45" s="22">
        <v>2100</v>
      </c>
      <c r="AA45" s="22">
        <v>142</v>
      </c>
      <c r="AB45" s="22"/>
      <c r="AC45" s="22"/>
      <c r="AD45" s="22"/>
      <c r="AE45" s="24"/>
    </row>
    <row r="46" ht="20.2" customHeight="1">
      <c r="A46" t="s" s="14">
        <v>90</v>
      </c>
      <c r="B46" t="s" s="25">
        <v>89</v>
      </c>
      <c r="C46" t="s" s="16">
        <v>33</v>
      </c>
      <c r="D46" s="17"/>
      <c r="E46" s="17"/>
      <c r="F46" s="18">
        <v>12</v>
      </c>
      <c r="G46" s="17">
        <v>126</v>
      </c>
      <c r="H46" s="17">
        <v>123</v>
      </c>
      <c r="I46" s="17">
        <v>30</v>
      </c>
      <c r="J46" s="17"/>
      <c r="K46" s="17">
        <v>10</v>
      </c>
      <c r="L46" s="17">
        <v>5.8</v>
      </c>
      <c r="M46" s="17">
        <v>4</v>
      </c>
      <c r="N46" s="17"/>
      <c r="O46" s="17"/>
      <c r="P46" s="17"/>
      <c r="Q46" s="17"/>
      <c r="R46" s="17">
        <v>0.49</v>
      </c>
      <c r="S46" s="17">
        <v>20</v>
      </c>
      <c r="T46" s="17">
        <v>1</v>
      </c>
      <c r="U46" s="17">
        <v>74</v>
      </c>
      <c r="V46" s="17">
        <v>99</v>
      </c>
      <c r="W46" s="17">
        <v>0.74</v>
      </c>
      <c r="X46" s="17">
        <v>149</v>
      </c>
      <c r="Y46" s="17">
        <v>15000</v>
      </c>
      <c r="Z46" s="17">
        <v>1500</v>
      </c>
      <c r="AA46" s="17">
        <v>99</v>
      </c>
      <c r="AB46" s="17"/>
      <c r="AC46" s="17"/>
      <c r="AD46" s="17"/>
      <c r="AE46" s="19"/>
    </row>
    <row r="47" ht="20.2" customHeight="1">
      <c r="A47" t="s" s="14">
        <v>91</v>
      </c>
      <c r="B47" t="s" s="32">
        <v>89</v>
      </c>
      <c r="C47" s="34"/>
      <c r="D47" s="22"/>
      <c r="E47" s="22"/>
      <c r="F47" s="23"/>
      <c r="G47" s="22">
        <v>100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4"/>
    </row>
    <row r="48" ht="20.2" customHeight="1">
      <c r="A48" t="s" s="14">
        <v>92</v>
      </c>
      <c r="B48" t="s" s="25">
        <v>89</v>
      </c>
      <c r="C48" t="s" s="16">
        <v>33</v>
      </c>
      <c r="D48" s="17"/>
      <c r="E48" s="17"/>
      <c r="F48" s="18">
        <v>10</v>
      </c>
      <c r="G48" s="17">
        <v>110</v>
      </c>
      <c r="H48" s="17">
        <v>90</v>
      </c>
      <c r="I48" s="17">
        <v>50</v>
      </c>
      <c r="J48" s="17"/>
      <c r="K48" s="17">
        <v>11.7</v>
      </c>
      <c r="L48" s="17">
        <v>6</v>
      </c>
      <c r="M48" s="17">
        <v>4</v>
      </c>
      <c r="N48" s="17"/>
      <c r="O48" s="17">
        <v>4</v>
      </c>
      <c r="P48" s="17"/>
      <c r="Q48" s="17"/>
      <c r="R48" s="17">
        <v>1</v>
      </c>
      <c r="S48" s="17">
        <v>38</v>
      </c>
      <c r="T48" s="17">
        <v>1.4</v>
      </c>
      <c r="U48" s="17">
        <v>168</v>
      </c>
      <c r="V48" s="17">
        <v>119</v>
      </c>
      <c r="W48" s="17">
        <v>0.74</v>
      </c>
      <c r="X48" s="17">
        <v>305</v>
      </c>
      <c r="Y48" s="17">
        <v>28200</v>
      </c>
      <c r="Z48" s="17">
        <v>5650</v>
      </c>
      <c r="AA48" s="17">
        <v>111</v>
      </c>
      <c r="AB48" s="17"/>
      <c r="AC48" s="17"/>
      <c r="AD48" s="17"/>
      <c r="AE48" s="19"/>
    </row>
    <row r="49" ht="20.2" customHeight="1">
      <c r="A49" t="s" s="14">
        <v>93</v>
      </c>
      <c r="B49" t="s" s="32">
        <v>89</v>
      </c>
      <c r="C49" t="s" s="21">
        <v>33</v>
      </c>
      <c r="D49" s="22"/>
      <c r="E49" s="22"/>
      <c r="F49" s="23">
        <v>10</v>
      </c>
      <c r="G49" s="22">
        <v>129</v>
      </c>
      <c r="H49" s="22">
        <v>135</v>
      </c>
      <c r="I49" s="22">
        <v>23</v>
      </c>
      <c r="J49" s="22"/>
      <c r="K49" s="22">
        <v>8</v>
      </c>
      <c r="L49" s="22">
        <v>5.7</v>
      </c>
      <c r="M49" s="22">
        <v>4</v>
      </c>
      <c r="N49" s="22"/>
      <c r="O49" s="22">
        <v>3.5</v>
      </c>
      <c r="P49" s="22"/>
      <c r="Q49" s="22"/>
      <c r="R49" s="22">
        <v>0.49</v>
      </c>
      <c r="S49" s="22">
        <v>20</v>
      </c>
      <c r="T49" s="22">
        <v>1</v>
      </c>
      <c r="U49" s="22">
        <v>74</v>
      </c>
      <c r="V49" s="22">
        <v>99</v>
      </c>
      <c r="W49" s="22">
        <v>0.74</v>
      </c>
      <c r="X49" s="22"/>
      <c r="Y49" s="22">
        <v>15000</v>
      </c>
      <c r="Z49" s="22">
        <v>1500</v>
      </c>
      <c r="AA49" s="22">
        <v>99</v>
      </c>
      <c r="AB49" s="22"/>
      <c r="AC49" s="22"/>
      <c r="AD49" s="22"/>
      <c r="AE49" s="24"/>
    </row>
    <row r="50" ht="20.2" customHeight="1">
      <c r="A50" t="s" s="14">
        <v>94</v>
      </c>
      <c r="B50" t="s" s="25">
        <v>95</v>
      </c>
      <c r="C50" t="s" s="16">
        <v>33</v>
      </c>
      <c r="D50" s="17"/>
      <c r="E50" s="17"/>
      <c r="F50" s="18">
        <v>16.5</v>
      </c>
      <c r="G50" s="17">
        <v>260</v>
      </c>
      <c r="H50" s="17"/>
      <c r="I50" s="17">
        <v>242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9"/>
    </row>
    <row r="51" ht="20.2" customHeight="1">
      <c r="A51" t="s" s="14">
        <v>96</v>
      </c>
      <c r="B51" t="s" s="32">
        <v>97</v>
      </c>
      <c r="C51" t="s" s="21">
        <v>33</v>
      </c>
      <c r="D51" s="22"/>
      <c r="E51" s="22"/>
      <c r="F51" s="23">
        <v>11.5</v>
      </c>
      <c r="G51" s="22">
        <v>95</v>
      </c>
      <c r="H51" s="22">
        <v>190</v>
      </c>
      <c r="I51" s="22">
        <v>60</v>
      </c>
      <c r="J51" s="22">
        <v>4.8</v>
      </c>
      <c r="K51" s="22">
        <v>9.9</v>
      </c>
      <c r="L51" s="22">
        <v>1.9</v>
      </c>
      <c r="M51" s="22"/>
      <c r="N51" s="22">
        <v>8.6</v>
      </c>
      <c r="O51" s="22">
        <v>4.5</v>
      </c>
      <c r="P51" s="22">
        <v>8.9</v>
      </c>
      <c r="Q51" s="22"/>
      <c r="R51" s="22"/>
      <c r="S51" s="22"/>
      <c r="T51" s="22"/>
      <c r="U51" s="22">
        <v>188</v>
      </c>
      <c r="V51" s="22"/>
      <c r="W51" s="22">
        <v>0.6</v>
      </c>
      <c r="X51" s="22">
        <v>150</v>
      </c>
      <c r="Y51" s="22"/>
      <c r="Z51" s="22"/>
      <c r="AA51" s="22">
        <v>500</v>
      </c>
      <c r="AB51" s="22"/>
      <c r="AC51" s="22"/>
      <c r="AD51" s="22"/>
      <c r="AE51" s="24"/>
    </row>
    <row r="52" ht="32.2" customHeight="1">
      <c r="A52" t="s" s="14">
        <v>98</v>
      </c>
      <c r="B52" t="s" s="25">
        <v>97</v>
      </c>
      <c r="C52" t="s" s="16">
        <v>33</v>
      </c>
      <c r="D52" s="17"/>
      <c r="E52" s="17"/>
      <c r="F52" s="18">
        <v>13.6</v>
      </c>
      <c r="G52" s="17">
        <v>110</v>
      </c>
      <c r="H52" s="17">
        <v>125</v>
      </c>
      <c r="I52" s="17">
        <v>100</v>
      </c>
      <c r="J52" s="17">
        <v>5.8</v>
      </c>
      <c r="K52" s="17">
        <v>11</v>
      </c>
      <c r="L52" s="17">
        <v>3.6</v>
      </c>
      <c r="M52" s="17">
        <v>1.5</v>
      </c>
      <c r="N52" s="17">
        <v>7.7</v>
      </c>
      <c r="O52" s="17">
        <v>2.5</v>
      </c>
      <c r="P52" s="17">
        <v>2.2</v>
      </c>
      <c r="Q52" s="17"/>
      <c r="R52" s="17"/>
      <c r="S52" s="17">
        <v>37.5</v>
      </c>
      <c r="T52" s="17">
        <v>0.5</v>
      </c>
      <c r="U52" s="17">
        <v>170</v>
      </c>
      <c r="V52" s="17">
        <v>60</v>
      </c>
      <c r="W52" s="17">
        <v>0.5</v>
      </c>
      <c r="X52" s="17">
        <v>110</v>
      </c>
      <c r="Y52" s="17">
        <v>15000</v>
      </c>
      <c r="Z52" s="17">
        <v>2300</v>
      </c>
      <c r="AA52" s="17">
        <v>540</v>
      </c>
      <c r="AB52" s="17">
        <v>2.8</v>
      </c>
      <c r="AC52" s="17">
        <v>3.4</v>
      </c>
      <c r="AD52" s="17"/>
      <c r="AE52" s="19"/>
    </row>
    <row r="53" ht="20.2" customHeight="1">
      <c r="A53" t="s" s="14">
        <v>99</v>
      </c>
      <c r="B53" t="s" s="32">
        <v>97</v>
      </c>
      <c r="C53" t="s" s="21">
        <v>33</v>
      </c>
      <c r="D53" s="22"/>
      <c r="E53" s="22"/>
      <c r="F53" s="23">
        <v>11.5</v>
      </c>
      <c r="G53" s="22">
        <v>120</v>
      </c>
      <c r="H53" s="22">
        <v>220</v>
      </c>
      <c r="I53" s="22">
        <v>40</v>
      </c>
      <c r="J53" s="22">
        <v>6</v>
      </c>
      <c r="K53" s="22">
        <v>8.4</v>
      </c>
      <c r="L53" s="22">
        <v>2.8</v>
      </c>
      <c r="M53" s="22">
        <v>2</v>
      </c>
      <c r="N53" s="22">
        <v>10</v>
      </c>
      <c r="O53" s="22">
        <v>1.9</v>
      </c>
      <c r="P53" s="22">
        <v>3.6</v>
      </c>
      <c r="Q53" s="22"/>
      <c r="R53" s="22"/>
      <c r="S53" s="22">
        <v>37.5</v>
      </c>
      <c r="T53" s="22">
        <v>0.5</v>
      </c>
      <c r="U53" s="22">
        <v>180</v>
      </c>
      <c r="V53" s="22">
        <v>62</v>
      </c>
      <c r="W53" s="22">
        <v>0.5</v>
      </c>
      <c r="X53" s="22">
        <v>110</v>
      </c>
      <c r="Y53" s="22">
        <v>11500</v>
      </c>
      <c r="Z53" s="22">
        <v>1150</v>
      </c>
      <c r="AA53" s="22">
        <v>500</v>
      </c>
      <c r="AB53" s="22">
        <v>1.5</v>
      </c>
      <c r="AC53" s="22">
        <v>3.5</v>
      </c>
      <c r="AD53" s="22"/>
      <c r="AE53" s="24"/>
    </row>
    <row r="54" ht="20.2" customHeight="1">
      <c r="A54" t="s" s="14">
        <v>100</v>
      </c>
      <c r="B54" t="s" s="25">
        <v>97</v>
      </c>
      <c r="C54" t="s" s="16">
        <v>33</v>
      </c>
      <c r="D54" s="17"/>
      <c r="E54" s="17"/>
      <c r="F54" s="18">
        <v>12</v>
      </c>
      <c r="G54" s="17">
        <v>95</v>
      </c>
      <c r="H54" s="17">
        <v>160</v>
      </c>
      <c r="I54" s="17">
        <v>65</v>
      </c>
      <c r="J54" s="17">
        <v>7</v>
      </c>
      <c r="K54" s="17">
        <v>7.7</v>
      </c>
      <c r="L54" s="17">
        <v>5.6</v>
      </c>
      <c r="M54" s="17">
        <v>5.3</v>
      </c>
      <c r="N54" s="17">
        <v>6.2</v>
      </c>
      <c r="O54" s="17">
        <v>2.4</v>
      </c>
      <c r="P54" s="17">
        <v>1</v>
      </c>
      <c r="Q54" s="17"/>
      <c r="R54" s="17"/>
      <c r="S54" s="17">
        <v>94</v>
      </c>
      <c r="T54" s="17">
        <v>1.2</v>
      </c>
      <c r="U54" s="17">
        <v>150</v>
      </c>
      <c r="V54" s="17">
        <v>155</v>
      </c>
      <c r="W54" s="17">
        <v>1.2</v>
      </c>
      <c r="X54" s="17">
        <v>275</v>
      </c>
      <c r="Y54" s="17">
        <v>33500</v>
      </c>
      <c r="Z54" s="17">
        <v>5750</v>
      </c>
      <c r="AA54" s="17">
        <v>815</v>
      </c>
      <c r="AB54" s="17"/>
      <c r="AC54" s="17"/>
      <c r="AD54" s="17"/>
      <c r="AE54" s="35"/>
    </row>
    <row r="55" ht="20.2" customHeight="1">
      <c r="A55" t="s" s="14">
        <v>101</v>
      </c>
      <c r="B55" t="s" s="32">
        <v>97</v>
      </c>
      <c r="C55" t="s" s="21">
        <v>33</v>
      </c>
      <c r="D55" s="22"/>
      <c r="E55" s="22"/>
      <c r="F55" s="23">
        <v>11.2</v>
      </c>
      <c r="G55" s="22">
        <v>100</v>
      </c>
      <c r="H55" s="22">
        <v>220</v>
      </c>
      <c r="I55" s="22">
        <v>35</v>
      </c>
      <c r="J55" s="22">
        <v>4.6</v>
      </c>
      <c r="K55" s="22">
        <v>8.9</v>
      </c>
      <c r="L55" s="22">
        <v>4.3</v>
      </c>
      <c r="M55" s="22">
        <v>1.7</v>
      </c>
      <c r="N55" s="22">
        <v>8.5</v>
      </c>
      <c r="O55" s="22">
        <v>2.3</v>
      </c>
      <c r="P55" s="22">
        <v>4</v>
      </c>
      <c r="Q55" s="22"/>
      <c r="R55" s="22"/>
      <c r="S55" s="22">
        <v>37.5</v>
      </c>
      <c r="T55" s="22">
        <v>0.5</v>
      </c>
      <c r="U55" s="22">
        <v>200</v>
      </c>
      <c r="V55" s="22">
        <v>62</v>
      </c>
      <c r="W55" s="22">
        <v>0.5</v>
      </c>
      <c r="X55" s="22">
        <v>110</v>
      </c>
      <c r="Y55" s="22">
        <v>11500</v>
      </c>
      <c r="Z55" s="22">
        <v>1150</v>
      </c>
      <c r="AA55" s="22">
        <v>300</v>
      </c>
      <c r="AB55" s="22">
        <v>1.47</v>
      </c>
      <c r="AC55" s="22">
        <v>3.45</v>
      </c>
      <c r="AD55" s="22"/>
      <c r="AE55" s="24"/>
    </row>
    <row r="56" ht="20.2" customHeight="1">
      <c r="A56" t="s" s="14">
        <v>102</v>
      </c>
      <c r="B56" t="s" s="25">
        <v>97</v>
      </c>
      <c r="C56" t="s" s="16">
        <v>33</v>
      </c>
      <c r="D56" s="17"/>
      <c r="E56" s="17"/>
      <c r="F56" s="18">
        <v>11.3</v>
      </c>
      <c r="G56" s="17">
        <v>120</v>
      </c>
      <c r="H56" s="17">
        <v>175</v>
      </c>
      <c r="I56" s="17">
        <v>55</v>
      </c>
      <c r="J56" s="17">
        <v>5.8</v>
      </c>
      <c r="K56" s="17">
        <v>13.2</v>
      </c>
      <c r="L56" s="17">
        <v>4</v>
      </c>
      <c r="M56" s="17">
        <v>1.2</v>
      </c>
      <c r="N56" s="17">
        <v>10</v>
      </c>
      <c r="O56" s="17">
        <v>2.3</v>
      </c>
      <c r="P56" s="17">
        <v>3.1</v>
      </c>
      <c r="Q56" s="17"/>
      <c r="R56" s="17"/>
      <c r="S56" s="17">
        <v>35</v>
      </c>
      <c r="T56" s="17">
        <v>0.5</v>
      </c>
      <c r="U56" s="17">
        <v>130</v>
      </c>
      <c r="V56" s="17">
        <v>60</v>
      </c>
      <c r="W56" s="17">
        <v>0.25</v>
      </c>
      <c r="X56" s="17">
        <v>100</v>
      </c>
      <c r="Y56" s="17">
        <v>15000</v>
      </c>
      <c r="Z56" s="17">
        <v>1380</v>
      </c>
      <c r="AA56" s="17">
        <v>400</v>
      </c>
      <c r="AB56" s="17">
        <v>1.8</v>
      </c>
      <c r="AC56" s="17">
        <v>3.5</v>
      </c>
      <c r="AD56" s="17"/>
      <c r="AE56" s="19"/>
    </row>
    <row r="57" ht="20.2" customHeight="1">
      <c r="A57" t="s" s="14">
        <v>103</v>
      </c>
      <c r="B57" t="s" s="32">
        <v>97</v>
      </c>
      <c r="C57" t="s" s="21">
        <v>33</v>
      </c>
      <c r="D57" s="22"/>
      <c r="E57" s="22"/>
      <c r="F57" s="23">
        <v>12.7</v>
      </c>
      <c r="G57" s="22">
        <v>130</v>
      </c>
      <c r="H57" s="22">
        <v>170</v>
      </c>
      <c r="I57" s="22">
        <v>90</v>
      </c>
      <c r="J57" s="22">
        <v>6.3</v>
      </c>
      <c r="K57" s="22">
        <v>8.4</v>
      </c>
      <c r="L57" s="22">
        <v>4</v>
      </c>
      <c r="M57" s="22">
        <v>3</v>
      </c>
      <c r="N57" s="22">
        <v>9.4</v>
      </c>
      <c r="O57" s="22">
        <v>4.5</v>
      </c>
      <c r="P57" s="22">
        <v>7.6</v>
      </c>
      <c r="Q57" s="22"/>
      <c r="R57" s="22"/>
      <c r="S57" s="22">
        <v>43</v>
      </c>
      <c r="T57" s="22">
        <v>0.43</v>
      </c>
      <c r="U57" s="22">
        <v>195</v>
      </c>
      <c r="V57" s="22">
        <v>60</v>
      </c>
      <c r="W57" s="22">
        <v>0.52</v>
      </c>
      <c r="X57" s="22">
        <v>138</v>
      </c>
      <c r="Y57" s="22">
        <v>12000</v>
      </c>
      <c r="Z57" s="22">
        <v>1200</v>
      </c>
      <c r="AA57" s="22">
        <v>300</v>
      </c>
      <c r="AB57" s="22">
        <v>7.7</v>
      </c>
      <c r="AC57" s="22"/>
      <c r="AD57" s="22"/>
      <c r="AE57" s="24"/>
    </row>
    <row r="58" ht="20.2" customHeight="1">
      <c r="A58" t="s" s="14">
        <v>104</v>
      </c>
      <c r="B58" t="s" s="25">
        <v>97</v>
      </c>
      <c r="C58" t="s" s="16">
        <v>33</v>
      </c>
      <c r="D58" s="17"/>
      <c r="E58" s="17"/>
      <c r="F58" s="18">
        <v>13</v>
      </c>
      <c r="G58" s="17">
        <v>135</v>
      </c>
      <c r="H58" s="17">
        <v>100</v>
      </c>
      <c r="I58" s="17">
        <v>65</v>
      </c>
      <c r="J58" s="17">
        <v>6</v>
      </c>
      <c r="K58" s="17">
        <v>10.2</v>
      </c>
      <c r="L58" s="17">
        <v>4.4</v>
      </c>
      <c r="M58" s="17">
        <v>1.6</v>
      </c>
      <c r="N58" s="17">
        <v>9.800000000000001</v>
      </c>
      <c r="O58" s="17">
        <v>3.4</v>
      </c>
      <c r="P58" s="17">
        <v>4.1</v>
      </c>
      <c r="Q58" s="17"/>
      <c r="R58" s="17"/>
      <c r="S58" s="17">
        <v>37.5</v>
      </c>
      <c r="T58" s="17">
        <v>0.5</v>
      </c>
      <c r="U58" s="17">
        <v>95</v>
      </c>
      <c r="V58" s="17">
        <v>62</v>
      </c>
      <c r="W58" s="17">
        <v>0.5</v>
      </c>
      <c r="X58" s="17">
        <v>110</v>
      </c>
      <c r="Y58" s="17">
        <v>15000</v>
      </c>
      <c r="Z58" s="17">
        <v>2300</v>
      </c>
      <c r="AA58" s="17">
        <v>540</v>
      </c>
      <c r="AB58" s="17">
        <v>2.8</v>
      </c>
      <c r="AC58" s="17">
        <v>3.4</v>
      </c>
      <c r="AD58" s="17"/>
      <c r="AE58" s="19"/>
    </row>
    <row r="59" ht="20.2" customHeight="1">
      <c r="A59" t="s" s="14">
        <v>105</v>
      </c>
      <c r="B59" t="s" s="32">
        <v>97</v>
      </c>
      <c r="C59" t="s" s="21">
        <v>33</v>
      </c>
      <c r="D59" s="22"/>
      <c r="E59" s="22"/>
      <c r="F59" s="23">
        <v>12.2</v>
      </c>
      <c r="G59" s="22">
        <v>130</v>
      </c>
      <c r="H59" s="22">
        <v>125</v>
      </c>
      <c r="I59" s="22">
        <v>40</v>
      </c>
      <c r="J59" s="22">
        <v>5.4</v>
      </c>
      <c r="K59" s="22">
        <v>9.5</v>
      </c>
      <c r="L59" s="22">
        <v>3.9</v>
      </c>
      <c r="M59" s="22">
        <v>2</v>
      </c>
      <c r="N59" s="22">
        <v>9.6</v>
      </c>
      <c r="O59" s="22">
        <v>4.3</v>
      </c>
      <c r="P59" s="22">
        <v>7.4</v>
      </c>
      <c r="Q59" s="22"/>
      <c r="R59" s="22"/>
      <c r="S59" s="22">
        <v>37.5</v>
      </c>
      <c r="T59" s="22">
        <v>0.5</v>
      </c>
      <c r="U59" s="22">
        <v>160</v>
      </c>
      <c r="V59" s="22">
        <v>62</v>
      </c>
      <c r="W59" s="22">
        <v>0.5</v>
      </c>
      <c r="X59" s="22">
        <v>110</v>
      </c>
      <c r="Y59" s="22">
        <v>11500</v>
      </c>
      <c r="Z59" s="22">
        <v>1150</v>
      </c>
      <c r="AA59" s="22">
        <v>500</v>
      </c>
      <c r="AB59" s="22">
        <v>1.47</v>
      </c>
      <c r="AC59" s="22">
        <v>3.45</v>
      </c>
      <c r="AD59" s="22"/>
      <c r="AE59" s="24"/>
    </row>
    <row r="60" ht="20.2" customHeight="1">
      <c r="A60" t="s" s="14">
        <v>106</v>
      </c>
      <c r="B60" t="s" s="25">
        <v>97</v>
      </c>
      <c r="C60" t="s" s="16">
        <v>33</v>
      </c>
      <c r="D60" s="17"/>
      <c r="E60" s="17"/>
      <c r="F60" s="18">
        <v>11.9</v>
      </c>
      <c r="G60" s="17">
        <v>105</v>
      </c>
      <c r="H60" s="17">
        <v>150</v>
      </c>
      <c r="I60" s="17">
        <v>40</v>
      </c>
      <c r="J60" s="17">
        <v>4.8</v>
      </c>
      <c r="K60" s="17">
        <v>11</v>
      </c>
      <c r="L60" s="17">
        <v>3</v>
      </c>
      <c r="M60" s="17">
        <v>1.3</v>
      </c>
      <c r="N60" s="17">
        <v>9.5</v>
      </c>
      <c r="O60" s="17">
        <v>2.4</v>
      </c>
      <c r="P60" s="17">
        <v>3</v>
      </c>
      <c r="Q60" s="17"/>
      <c r="R60" s="17"/>
      <c r="S60" s="17">
        <v>35</v>
      </c>
      <c r="T60" s="17">
        <v>0.5</v>
      </c>
      <c r="U60" s="17">
        <v>145</v>
      </c>
      <c r="V60" s="17">
        <v>60</v>
      </c>
      <c r="W60" s="17">
        <v>0.3</v>
      </c>
      <c r="X60" s="17">
        <v>100</v>
      </c>
      <c r="Y60" s="17">
        <v>15000</v>
      </c>
      <c r="Z60" s="17">
        <v>1380</v>
      </c>
      <c r="AA60" s="17">
        <v>175</v>
      </c>
      <c r="AB60" s="17">
        <v>1.83</v>
      </c>
      <c r="AC60" s="17">
        <v>3.45</v>
      </c>
      <c r="AD60" s="17"/>
      <c r="AE60" s="19"/>
    </row>
    <row r="61" ht="20.2" customHeight="1">
      <c r="A61" t="s" s="14">
        <v>107</v>
      </c>
      <c r="B61" t="s" s="32">
        <v>97</v>
      </c>
      <c r="C61" t="s" s="21">
        <v>33</v>
      </c>
      <c r="D61" s="22"/>
      <c r="E61" s="22"/>
      <c r="F61" s="23">
        <v>11.5</v>
      </c>
      <c r="G61" s="22">
        <v>300</v>
      </c>
      <c r="H61" s="22">
        <v>70</v>
      </c>
      <c r="I61" s="22">
        <v>30</v>
      </c>
      <c r="J61" s="22">
        <v>16.8</v>
      </c>
      <c r="K61" s="22">
        <v>38</v>
      </c>
      <c r="L61" s="22">
        <v>18</v>
      </c>
      <c r="M61" s="22">
        <v>11</v>
      </c>
      <c r="N61" s="22">
        <v>16</v>
      </c>
      <c r="O61" s="22">
        <v>5.5</v>
      </c>
      <c r="P61" s="22">
        <v>8.5</v>
      </c>
      <c r="Q61" s="22"/>
      <c r="R61" s="22"/>
      <c r="S61" s="22">
        <v>250</v>
      </c>
      <c r="T61" s="22">
        <v>2.5</v>
      </c>
      <c r="U61" s="22">
        <v>250</v>
      </c>
      <c r="V61" s="22">
        <v>350</v>
      </c>
      <c r="W61" s="22">
        <v>3</v>
      </c>
      <c r="X61" s="22">
        <v>800</v>
      </c>
      <c r="Y61" s="22">
        <v>70000</v>
      </c>
      <c r="Z61" s="22">
        <v>7000</v>
      </c>
      <c r="AA61" s="22">
        <v>1750</v>
      </c>
      <c r="AB61" s="22">
        <v>45</v>
      </c>
      <c r="AC61" s="22">
        <v>44</v>
      </c>
      <c r="AD61" s="22"/>
      <c r="AE61" s="24"/>
    </row>
    <row r="62" ht="20.2" customHeight="1">
      <c r="A62" t="s" s="14">
        <v>108</v>
      </c>
      <c r="B62" t="s" s="25">
        <v>97</v>
      </c>
      <c r="C62" t="s" s="16">
        <v>33</v>
      </c>
      <c r="D62" s="17"/>
      <c r="E62" s="17"/>
      <c r="F62" s="18">
        <v>12.2</v>
      </c>
      <c r="G62" s="17">
        <v>260</v>
      </c>
      <c r="H62" s="17">
        <v>65</v>
      </c>
      <c r="I62" s="17">
        <v>48</v>
      </c>
      <c r="J62" s="17">
        <v>14</v>
      </c>
      <c r="K62" s="17">
        <v>25.2</v>
      </c>
      <c r="L62" s="17">
        <v>11.6</v>
      </c>
      <c r="M62" s="17">
        <v>2.2</v>
      </c>
      <c r="N62" s="17">
        <v>13.6</v>
      </c>
      <c r="O62" s="17">
        <v>4.8</v>
      </c>
      <c r="P62" s="17">
        <v>8.800000000000001</v>
      </c>
      <c r="Q62" s="17"/>
      <c r="R62" s="17"/>
      <c r="S62" s="17">
        <v>200</v>
      </c>
      <c r="T62" s="17">
        <v>3.2</v>
      </c>
      <c r="U62" s="17">
        <v>250</v>
      </c>
      <c r="V62" s="17">
        <v>220</v>
      </c>
      <c r="W62" s="17">
        <v>3</v>
      </c>
      <c r="X62" s="17">
        <v>450</v>
      </c>
      <c r="Y62" s="17">
        <v>65000</v>
      </c>
      <c r="Z62" s="17">
        <v>10000</v>
      </c>
      <c r="AA62" s="17">
        <v>2000</v>
      </c>
      <c r="AB62" s="17">
        <v>125</v>
      </c>
      <c r="AC62" s="17">
        <v>105</v>
      </c>
      <c r="AD62" s="17"/>
      <c r="AE62" s="19"/>
    </row>
    <row r="63" ht="20.2" customHeight="1">
      <c r="A63" t="s" s="14">
        <v>109</v>
      </c>
      <c r="B63" t="s" s="32">
        <v>97</v>
      </c>
      <c r="C63" t="s" s="21">
        <v>33</v>
      </c>
      <c r="D63" s="22"/>
      <c r="E63" s="22"/>
      <c r="F63" s="23">
        <v>11.5</v>
      </c>
      <c r="G63" s="22">
        <v>100</v>
      </c>
      <c r="H63" s="22">
        <v>175</v>
      </c>
      <c r="I63" s="22">
        <v>65</v>
      </c>
      <c r="J63" s="22">
        <v>7.7</v>
      </c>
      <c r="K63" s="22">
        <v>16.3</v>
      </c>
      <c r="L63" s="22">
        <v>7.7</v>
      </c>
      <c r="M63" s="22">
        <v>6.6</v>
      </c>
      <c r="N63" s="22">
        <v>7.4</v>
      </c>
      <c r="O63" s="22">
        <v>2.5</v>
      </c>
      <c r="P63" s="22">
        <v>2.1</v>
      </c>
      <c r="Q63" s="22"/>
      <c r="R63" s="22"/>
      <c r="S63" s="22">
        <v>94</v>
      </c>
      <c r="T63" s="22">
        <v>1.25</v>
      </c>
      <c r="U63" s="22">
        <v>165</v>
      </c>
      <c r="V63" s="22">
        <v>155</v>
      </c>
      <c r="W63" s="22">
        <v>1.25</v>
      </c>
      <c r="X63" s="22">
        <v>275</v>
      </c>
      <c r="Y63" s="22">
        <v>33500</v>
      </c>
      <c r="Z63" s="22">
        <v>5750</v>
      </c>
      <c r="AA63" s="22">
        <v>820</v>
      </c>
      <c r="AB63" s="22">
        <v>3.56</v>
      </c>
      <c r="AC63" s="22">
        <v>8.460000000000001</v>
      </c>
      <c r="AD63" s="22"/>
      <c r="AE63" s="24"/>
    </row>
    <row r="64" ht="20.2" customHeight="1">
      <c r="A64" t="s" s="14">
        <v>110</v>
      </c>
      <c r="B64" t="s" s="25">
        <v>97</v>
      </c>
      <c r="C64" t="s" s="16">
        <v>33</v>
      </c>
      <c r="D64" s="17"/>
      <c r="E64" s="17"/>
      <c r="F64" s="18">
        <v>18</v>
      </c>
      <c r="G64" s="17">
        <v>125</v>
      </c>
      <c r="H64" s="17">
        <v>80</v>
      </c>
      <c r="I64" s="17">
        <v>180</v>
      </c>
      <c r="J64" s="17">
        <v>14</v>
      </c>
      <c r="K64" s="17">
        <v>22.5</v>
      </c>
      <c r="L64" s="17">
        <v>15</v>
      </c>
      <c r="M64" s="17">
        <v>7.2</v>
      </c>
      <c r="N64" s="17"/>
      <c r="O64" s="17"/>
      <c r="P64" s="17"/>
      <c r="Q64" s="17"/>
      <c r="R64" s="17"/>
      <c r="S64" s="17"/>
      <c r="T64" s="17"/>
      <c r="U64" s="17"/>
      <c r="V64" s="17"/>
      <c r="W64" s="17">
        <v>1</v>
      </c>
      <c r="X64" s="17"/>
      <c r="Y64" s="17"/>
      <c r="Z64" s="17"/>
      <c r="AA64" s="17"/>
      <c r="AB64" s="17"/>
      <c r="AC64" s="17"/>
      <c r="AD64" s="17"/>
      <c r="AE64" s="19"/>
    </row>
    <row r="65" ht="20.2" customHeight="1">
      <c r="A65" t="s" s="14">
        <v>111</v>
      </c>
      <c r="B65" t="s" s="32">
        <v>97</v>
      </c>
      <c r="C65" t="s" s="21">
        <v>33</v>
      </c>
      <c r="D65" s="22"/>
      <c r="E65" s="22"/>
      <c r="F65" s="23">
        <v>11</v>
      </c>
      <c r="G65" s="22">
        <v>80</v>
      </c>
      <c r="H65" s="22">
        <v>170</v>
      </c>
      <c r="I65" s="22">
        <v>30</v>
      </c>
      <c r="J65" s="22">
        <v>3.2</v>
      </c>
      <c r="K65" s="22">
        <v>10</v>
      </c>
      <c r="L65" s="22">
        <v>2</v>
      </c>
      <c r="M65" s="22">
        <v>1</v>
      </c>
      <c r="N65" s="22">
        <v>7</v>
      </c>
      <c r="O65" s="22">
        <v>2.2</v>
      </c>
      <c r="P65" s="22">
        <v>2.2</v>
      </c>
      <c r="Q65" s="22"/>
      <c r="R65" s="22"/>
      <c r="S65" s="22">
        <v>10</v>
      </c>
      <c r="T65" s="22">
        <v>0.5</v>
      </c>
      <c r="U65" s="22">
        <v>70</v>
      </c>
      <c r="V65" s="22">
        <v>10</v>
      </c>
      <c r="W65" s="22">
        <v>0.25</v>
      </c>
      <c r="X65" s="22">
        <v>40</v>
      </c>
      <c r="Y65" s="22">
        <v>6250</v>
      </c>
      <c r="Z65" s="22">
        <v>1435</v>
      </c>
      <c r="AA65" s="22">
        <v>60</v>
      </c>
      <c r="AB65" s="22">
        <v>1.2</v>
      </c>
      <c r="AC65" s="22">
        <v>1</v>
      </c>
      <c r="AD65" s="22"/>
      <c r="AE65" s="24"/>
    </row>
    <row r="66" ht="20.2" customHeight="1">
      <c r="A66" t="s" s="14">
        <v>112</v>
      </c>
      <c r="B66" t="s" s="25">
        <v>113</v>
      </c>
      <c r="C66" t="s" s="16">
        <v>33</v>
      </c>
      <c r="D66" s="17"/>
      <c r="E66" s="17"/>
      <c r="F66" s="18">
        <v>12</v>
      </c>
      <c r="G66" s="17">
        <v>135</v>
      </c>
      <c r="H66" s="17">
        <v>127</v>
      </c>
      <c r="I66" s="17">
        <v>55</v>
      </c>
      <c r="J66" s="17">
        <v>6.5</v>
      </c>
      <c r="K66" s="17">
        <v>13</v>
      </c>
      <c r="L66" s="17">
        <v>6</v>
      </c>
      <c r="M66" s="17">
        <v>2.5</v>
      </c>
      <c r="N66" s="17">
        <v>9</v>
      </c>
      <c r="O66" s="17">
        <v>2.9</v>
      </c>
      <c r="P66" s="17">
        <v>8</v>
      </c>
      <c r="Q66" s="17"/>
      <c r="R66" s="17"/>
      <c r="S66" s="17">
        <v>50</v>
      </c>
      <c r="T66" s="17">
        <v>1</v>
      </c>
      <c r="U66" s="17">
        <v>200</v>
      </c>
      <c r="V66" s="17">
        <v>200</v>
      </c>
      <c r="W66" s="17">
        <v>0.5</v>
      </c>
      <c r="X66" s="17">
        <v>200</v>
      </c>
      <c r="Y66" s="17">
        <v>13000</v>
      </c>
      <c r="Z66" s="17">
        <v>1300</v>
      </c>
      <c r="AA66" s="17">
        <v>450</v>
      </c>
      <c r="AB66" s="17">
        <v>20</v>
      </c>
      <c r="AC66" s="17">
        <v>15</v>
      </c>
      <c r="AD66" s="17"/>
      <c r="AE66" s="19"/>
    </row>
    <row r="67" ht="32.2" customHeight="1">
      <c r="A67" t="s" s="14">
        <v>114</v>
      </c>
      <c r="B67" t="s" s="32">
        <v>113</v>
      </c>
      <c r="C67" t="s" s="21">
        <v>33</v>
      </c>
      <c r="D67" s="22"/>
      <c r="E67" s="22"/>
      <c r="F67" s="23">
        <v>12.3</v>
      </c>
      <c r="G67" s="22">
        <v>135</v>
      </c>
      <c r="H67" s="22">
        <v>115</v>
      </c>
      <c r="I67" s="22">
        <v>55</v>
      </c>
      <c r="J67" s="22">
        <v>6.8</v>
      </c>
      <c r="K67" s="22">
        <v>12.5</v>
      </c>
      <c r="L67" s="22">
        <v>6</v>
      </c>
      <c r="M67" s="22">
        <v>3.5</v>
      </c>
      <c r="N67" s="22">
        <v>11</v>
      </c>
      <c r="O67" s="22">
        <v>3</v>
      </c>
      <c r="P67" s="22">
        <v>7</v>
      </c>
      <c r="Q67" s="22"/>
      <c r="R67" s="22">
        <v>0.14</v>
      </c>
      <c r="S67" s="22">
        <v>56</v>
      </c>
      <c r="T67" s="22">
        <v>1.1</v>
      </c>
      <c r="U67" s="22">
        <v>200</v>
      </c>
      <c r="V67" s="22">
        <v>190</v>
      </c>
      <c r="W67" s="22">
        <v>0.5</v>
      </c>
      <c r="X67" s="22">
        <v>200</v>
      </c>
      <c r="Y67" s="22">
        <v>14000</v>
      </c>
      <c r="Z67" s="22">
        <v>1400</v>
      </c>
      <c r="AA67" s="22">
        <v>500</v>
      </c>
      <c r="AB67" s="22">
        <v>21</v>
      </c>
      <c r="AC67" s="22">
        <v>15</v>
      </c>
      <c r="AD67" s="22"/>
      <c r="AE67" s="24"/>
    </row>
    <row r="68" ht="32.2" customHeight="1">
      <c r="A68" t="s" s="14">
        <v>115</v>
      </c>
      <c r="B68" t="s" s="25">
        <v>116</v>
      </c>
      <c r="C68" t="s" s="16">
        <v>33</v>
      </c>
      <c r="D68" s="17"/>
      <c r="E68" s="17"/>
      <c r="F68" s="18">
        <v>6.8</v>
      </c>
      <c r="G68" s="17">
        <v>100</v>
      </c>
      <c r="H68" s="17">
        <v>138</v>
      </c>
      <c r="I68" s="17">
        <v>35</v>
      </c>
      <c r="J68" s="17">
        <v>8</v>
      </c>
      <c r="K68" s="17">
        <v>10</v>
      </c>
      <c r="L68" s="17">
        <v>5</v>
      </c>
      <c r="M68" s="17">
        <v>2</v>
      </c>
      <c r="N68" s="17"/>
      <c r="O68" s="17">
        <v>3</v>
      </c>
      <c r="P68" s="17"/>
      <c r="Q68" s="17"/>
      <c r="R68" s="17"/>
      <c r="S68" s="17">
        <v>15</v>
      </c>
      <c r="T68" s="17">
        <v>0.8</v>
      </c>
      <c r="U68" s="17">
        <v>40</v>
      </c>
      <c r="V68" s="17">
        <v>65</v>
      </c>
      <c r="W68" s="17">
        <v>0.4</v>
      </c>
      <c r="X68" s="17">
        <v>150</v>
      </c>
      <c r="Y68" s="17">
        <v>30000</v>
      </c>
      <c r="Z68" s="17">
        <v>2000</v>
      </c>
      <c r="AA68" s="17">
        <v>230</v>
      </c>
      <c r="AB68" s="17">
        <v>3</v>
      </c>
      <c r="AC68" s="17">
        <v>4</v>
      </c>
      <c r="AD68" s="17">
        <v>4.3</v>
      </c>
      <c r="AE68" s="19">
        <v>100</v>
      </c>
    </row>
    <row r="69" ht="32.2" customHeight="1">
      <c r="A69" t="s" s="14">
        <v>117</v>
      </c>
      <c r="B69" t="s" s="32">
        <v>116</v>
      </c>
      <c r="C69" t="s" s="21">
        <v>33</v>
      </c>
      <c r="D69" s="22"/>
      <c r="E69" s="22"/>
      <c r="F69" s="23">
        <v>10.5</v>
      </c>
      <c r="G69" s="22">
        <v>90</v>
      </c>
      <c r="H69" s="22">
        <v>105</v>
      </c>
      <c r="I69" s="22">
        <v>30</v>
      </c>
      <c r="J69" s="22">
        <v>8</v>
      </c>
      <c r="K69" s="22">
        <v>14</v>
      </c>
      <c r="L69" s="22">
        <v>7</v>
      </c>
      <c r="M69" s="22">
        <v>3</v>
      </c>
      <c r="N69" s="22"/>
      <c r="O69" s="22">
        <v>4</v>
      </c>
      <c r="P69" s="22"/>
      <c r="Q69" s="22"/>
      <c r="R69" s="22"/>
      <c r="S69" s="22">
        <v>35</v>
      </c>
      <c r="T69" s="22">
        <v>1.3</v>
      </c>
      <c r="U69" s="22">
        <v>100</v>
      </c>
      <c r="V69" s="22">
        <v>110</v>
      </c>
      <c r="W69" s="22">
        <v>0.8</v>
      </c>
      <c r="X69" s="22">
        <v>200</v>
      </c>
      <c r="Y69" s="22">
        <v>30000</v>
      </c>
      <c r="Z69" s="22">
        <v>2000</v>
      </c>
      <c r="AA69" s="22">
        <v>200</v>
      </c>
      <c r="AB69" s="22">
        <v>10</v>
      </c>
      <c r="AC69" s="22">
        <v>10</v>
      </c>
      <c r="AD69" s="22">
        <v>4.5</v>
      </c>
      <c r="AE69" s="24">
        <v>100</v>
      </c>
    </row>
    <row r="70" ht="32.2" customHeight="1">
      <c r="A70" t="s" s="14">
        <v>118</v>
      </c>
      <c r="B70" t="s" s="25">
        <v>116</v>
      </c>
      <c r="C70" t="s" s="16">
        <v>33</v>
      </c>
      <c r="D70" s="17"/>
      <c r="E70" s="17"/>
      <c r="F70" s="18">
        <v>12.5</v>
      </c>
      <c r="G70" s="17">
        <v>125</v>
      </c>
      <c r="H70" s="17">
        <v>210</v>
      </c>
      <c r="I70" s="17">
        <v>70</v>
      </c>
      <c r="J70" s="17">
        <v>9.5</v>
      </c>
      <c r="K70" s="17">
        <v>10</v>
      </c>
      <c r="L70" s="17">
        <v>7</v>
      </c>
      <c r="M70" s="17">
        <v>2.5</v>
      </c>
      <c r="N70" s="17"/>
      <c r="O70" s="17">
        <v>2</v>
      </c>
      <c r="P70" s="17"/>
      <c r="Q70" s="17"/>
      <c r="R70" s="17"/>
      <c r="S70" s="17">
        <v>45</v>
      </c>
      <c r="T70" s="17">
        <v>1.3</v>
      </c>
      <c r="U70" s="17">
        <v>100</v>
      </c>
      <c r="V70" s="17">
        <v>125</v>
      </c>
      <c r="W70" s="17">
        <v>0.8</v>
      </c>
      <c r="X70" s="17">
        <v>225</v>
      </c>
      <c r="Y70" s="17">
        <v>35000</v>
      </c>
      <c r="Z70" s="17">
        <v>2000</v>
      </c>
      <c r="AA70" s="17">
        <v>600</v>
      </c>
      <c r="AB70" s="17">
        <v>10</v>
      </c>
      <c r="AC70" s="17">
        <v>10</v>
      </c>
      <c r="AD70" s="17">
        <v>4.5</v>
      </c>
      <c r="AE70" s="19">
        <v>100</v>
      </c>
    </row>
    <row r="71" ht="32.2" customHeight="1">
      <c r="A71" t="s" s="14">
        <v>119</v>
      </c>
      <c r="B71" t="s" s="32">
        <v>120</v>
      </c>
      <c r="C71" t="s" s="21">
        <v>33</v>
      </c>
      <c r="D71" s="22"/>
      <c r="E71" s="22"/>
      <c r="F71" s="23">
        <v>10.5</v>
      </c>
      <c r="G71" s="22">
        <v>110</v>
      </c>
      <c r="H71" s="22">
        <v>105</v>
      </c>
      <c r="I71" s="22">
        <v>45</v>
      </c>
      <c r="J71" s="22"/>
      <c r="K71" s="22">
        <v>10</v>
      </c>
      <c r="L71" s="22">
        <v>6</v>
      </c>
      <c r="M71" s="22">
        <v>3</v>
      </c>
      <c r="N71" s="22"/>
      <c r="O71" s="22">
        <v>3</v>
      </c>
      <c r="P71" s="22"/>
      <c r="Q71" s="22"/>
      <c r="R71" s="22">
        <v>0.3</v>
      </c>
      <c r="S71" s="22">
        <v>40</v>
      </c>
      <c r="T71" s="22">
        <v>1.25</v>
      </c>
      <c r="U71" s="22">
        <v>75</v>
      </c>
      <c r="V71" s="22">
        <v>115</v>
      </c>
      <c r="W71" s="22">
        <v>0.4</v>
      </c>
      <c r="X71" s="22">
        <v>115</v>
      </c>
      <c r="Y71" s="22">
        <v>12500</v>
      </c>
      <c r="Z71" s="22">
        <v>1250</v>
      </c>
      <c r="AA71" s="22">
        <v>300</v>
      </c>
      <c r="AB71" s="22"/>
      <c r="AC71" s="22"/>
      <c r="AD71" s="22"/>
      <c r="AE71" s="24"/>
    </row>
    <row r="72" ht="20.2" customHeight="1">
      <c r="A72" t="s" s="14">
        <v>121</v>
      </c>
      <c r="B72" t="s" s="25">
        <v>122</v>
      </c>
      <c r="C72" t="s" s="16">
        <v>33</v>
      </c>
      <c r="D72" s="17"/>
      <c r="E72" s="17"/>
      <c r="F72" s="18">
        <v>11.1</v>
      </c>
      <c r="G72" s="17">
        <v>136.4</v>
      </c>
      <c r="H72" s="17">
        <v>113.1</v>
      </c>
      <c r="I72" s="17">
        <v>35.5</v>
      </c>
      <c r="J72" s="17">
        <v>5.03</v>
      </c>
      <c r="K72" s="17">
        <v>12</v>
      </c>
      <c r="L72" s="17">
        <v>7.87</v>
      </c>
      <c r="M72" s="17"/>
      <c r="N72" s="17"/>
      <c r="O72" s="17">
        <v>3.73</v>
      </c>
      <c r="P72" s="17"/>
      <c r="Q72" s="17"/>
      <c r="R72" s="17"/>
      <c r="S72" s="17"/>
      <c r="T72" s="17"/>
      <c r="U72" s="17"/>
      <c r="V72" s="17"/>
      <c r="W72" s="17"/>
      <c r="X72" s="17"/>
      <c r="Y72" s="17">
        <v>16000</v>
      </c>
      <c r="Z72" s="17">
        <v>1300</v>
      </c>
      <c r="AA72" s="17">
        <v>200</v>
      </c>
      <c r="AB72" s="17"/>
      <c r="AC72" s="17"/>
      <c r="AD72" s="17"/>
      <c r="AE72" s="19">
        <v>40</v>
      </c>
    </row>
    <row r="73" ht="20.2" customHeight="1">
      <c r="A73" t="s" s="14">
        <v>123</v>
      </c>
      <c r="B73" t="s" s="32">
        <v>124</v>
      </c>
      <c r="C73" t="s" s="21">
        <v>33</v>
      </c>
      <c r="D73" s="22"/>
      <c r="E73" s="22"/>
      <c r="F73" s="23">
        <v>11</v>
      </c>
      <c r="G73" s="22">
        <v>120</v>
      </c>
      <c r="H73" s="22">
        <v>90</v>
      </c>
      <c r="I73" s="22">
        <v>40</v>
      </c>
      <c r="J73" s="22">
        <v>6</v>
      </c>
      <c r="K73" s="22">
        <v>6</v>
      </c>
      <c r="L73" s="22">
        <v>6</v>
      </c>
      <c r="M73" s="22">
        <v>3</v>
      </c>
      <c r="N73" s="22"/>
      <c r="O73" s="22">
        <v>3.3</v>
      </c>
      <c r="P73" s="22"/>
      <c r="Q73" s="22"/>
      <c r="R73" s="22"/>
      <c r="S73" s="22">
        <v>23</v>
      </c>
      <c r="T73" s="22">
        <v>1.29</v>
      </c>
      <c r="U73" s="22">
        <v>132</v>
      </c>
      <c r="V73" s="22">
        <v>75</v>
      </c>
      <c r="W73" s="22">
        <v>0.37</v>
      </c>
      <c r="X73" s="22">
        <v>131</v>
      </c>
      <c r="Y73" s="22">
        <v>10000</v>
      </c>
      <c r="Z73" s="22">
        <v>1950</v>
      </c>
      <c r="AA73" s="22">
        <v>100</v>
      </c>
      <c r="AB73" s="22"/>
      <c r="AC73" s="22"/>
      <c r="AD73" s="22"/>
      <c r="AE73" s="24"/>
    </row>
    <row r="74" ht="20.2" customHeight="1">
      <c r="A74" t="s" s="14">
        <v>125</v>
      </c>
      <c r="B74" t="s" s="25">
        <v>126</v>
      </c>
      <c r="C74" t="s" s="16">
        <v>33</v>
      </c>
      <c r="D74" s="17"/>
      <c r="E74" s="17"/>
      <c r="F74" s="18">
        <v>10.5</v>
      </c>
      <c r="G74" s="17">
        <v>110</v>
      </c>
      <c r="H74" s="17">
        <v>120</v>
      </c>
      <c r="I74" s="17"/>
      <c r="J74" s="17"/>
      <c r="K74" s="17">
        <v>18</v>
      </c>
      <c r="L74" s="17">
        <v>7</v>
      </c>
      <c r="M74" s="17">
        <v>4</v>
      </c>
      <c r="N74" s="17"/>
      <c r="O74" s="17">
        <v>5</v>
      </c>
      <c r="P74" s="17">
        <v>275</v>
      </c>
      <c r="Q74" s="17"/>
      <c r="R74" s="17"/>
      <c r="S74" s="17">
        <v>55</v>
      </c>
      <c r="T74" s="17">
        <v>2.5</v>
      </c>
      <c r="U74" s="17">
        <v>480</v>
      </c>
      <c r="V74" s="17">
        <v>120</v>
      </c>
      <c r="W74" s="17">
        <v>0.6</v>
      </c>
      <c r="X74" s="17">
        <v>280</v>
      </c>
      <c r="Y74" s="17">
        <v>30000</v>
      </c>
      <c r="Z74" s="17">
        <v>3000</v>
      </c>
      <c r="AA74" s="17">
        <v>650</v>
      </c>
      <c r="AB74" s="17">
        <v>25</v>
      </c>
      <c r="AC74" s="17">
        <v>25</v>
      </c>
      <c r="AD74" s="17"/>
      <c r="AE74" s="19">
        <v>40</v>
      </c>
    </row>
    <row r="75" ht="20.2" customHeight="1">
      <c r="A75" t="s" s="14">
        <v>127</v>
      </c>
      <c r="B75" t="s" s="32">
        <v>128</v>
      </c>
      <c r="C75" t="s" s="21">
        <v>33</v>
      </c>
      <c r="D75" s="22"/>
      <c r="E75" s="22"/>
      <c r="F75" s="23">
        <v>11.5</v>
      </c>
      <c r="G75" s="22">
        <v>130</v>
      </c>
      <c r="H75" s="22">
        <v>190</v>
      </c>
      <c r="I75" s="22">
        <v>60</v>
      </c>
      <c r="J75" s="22"/>
      <c r="K75" s="22"/>
      <c r="L75" s="22"/>
      <c r="M75" s="22"/>
      <c r="N75" s="22"/>
      <c r="O75" s="22"/>
      <c r="P75" s="22"/>
      <c r="Q75" s="22"/>
      <c r="R75" s="22"/>
      <c r="S75" s="22">
        <v>35</v>
      </c>
      <c r="T75" s="22"/>
      <c r="U75" s="22"/>
      <c r="V75" s="22"/>
      <c r="W75" s="22">
        <v>0.3</v>
      </c>
      <c r="X75" s="22">
        <v>130</v>
      </c>
      <c r="Y75" s="22">
        <v>11000</v>
      </c>
      <c r="Z75" s="22">
        <v>1500</v>
      </c>
      <c r="AA75" s="22">
        <v>500</v>
      </c>
      <c r="AB75" s="22"/>
      <c r="AC75" s="22"/>
      <c r="AD75" s="22"/>
      <c r="AE75" s="24"/>
    </row>
    <row r="76" ht="20.2" customHeight="1">
      <c r="A76" t="s" s="14">
        <v>129</v>
      </c>
      <c r="B76" t="s" s="25">
        <v>128</v>
      </c>
      <c r="C76" t="s" s="16">
        <v>130</v>
      </c>
      <c r="D76" s="17"/>
      <c r="E76" s="17"/>
      <c r="F76" s="18">
        <v>7</v>
      </c>
      <c r="G76" s="17">
        <v>80</v>
      </c>
      <c r="H76" s="17">
        <v>220</v>
      </c>
      <c r="I76" s="17">
        <v>40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>
        <v>8000</v>
      </c>
      <c r="Z76" s="17">
        <v>1500</v>
      </c>
      <c r="AA76" s="17">
        <v>200</v>
      </c>
      <c r="AB76" s="17"/>
      <c r="AC76" s="17"/>
      <c r="AD76" s="17"/>
      <c r="AE76" s="19"/>
    </row>
    <row r="77" ht="20.2" customHeight="1">
      <c r="A77" t="s" s="14">
        <v>131</v>
      </c>
      <c r="B77" t="s" s="32">
        <v>132</v>
      </c>
      <c r="C77" t="s" s="21">
        <v>33</v>
      </c>
      <c r="D77" s="22"/>
      <c r="E77" s="22"/>
      <c r="F77" s="23">
        <v>11.6</v>
      </c>
      <c r="G77" s="22">
        <v>95</v>
      </c>
      <c r="H77" s="22">
        <v>64</v>
      </c>
      <c r="I77" s="22">
        <v>40</v>
      </c>
      <c r="J77" s="22"/>
      <c r="K77" s="22">
        <v>16</v>
      </c>
      <c r="L77" s="22">
        <v>4.5</v>
      </c>
      <c r="M77" s="22"/>
      <c r="N77" s="22"/>
      <c r="O77" s="22">
        <v>4.5</v>
      </c>
      <c r="P77" s="22"/>
      <c r="Q77" s="22"/>
      <c r="R77" s="22"/>
      <c r="S77" s="22">
        <v>20</v>
      </c>
      <c r="T77" s="22">
        <v>1</v>
      </c>
      <c r="U77" s="22">
        <v>25</v>
      </c>
      <c r="V77" s="22">
        <v>80</v>
      </c>
      <c r="W77" s="22">
        <v>0.45</v>
      </c>
      <c r="X77" s="22">
        <v>125</v>
      </c>
      <c r="Y77" s="22">
        <v>15000</v>
      </c>
      <c r="Z77" s="22">
        <v>1500</v>
      </c>
      <c r="AA77" s="22">
        <v>310</v>
      </c>
      <c r="AB77" s="22"/>
      <c r="AC77" s="22"/>
      <c r="AD77" s="22"/>
      <c r="AE77" s="24"/>
    </row>
    <row r="78" ht="20.2" customHeight="1">
      <c r="A78" t="s" s="14">
        <v>133</v>
      </c>
      <c r="B78" t="s" s="25">
        <v>132</v>
      </c>
      <c r="C78" t="s" s="16">
        <v>33</v>
      </c>
      <c r="D78" s="17"/>
      <c r="E78" s="17"/>
      <c r="F78" s="18">
        <v>11.7</v>
      </c>
      <c r="G78" s="17">
        <v>100</v>
      </c>
      <c r="H78" s="17">
        <v>80</v>
      </c>
      <c r="I78" s="17">
        <v>34</v>
      </c>
      <c r="J78" s="17"/>
      <c r="K78" s="17">
        <v>7</v>
      </c>
      <c r="L78" s="17">
        <v>3.5</v>
      </c>
      <c r="M78" s="17"/>
      <c r="N78" s="17"/>
      <c r="O78" s="17">
        <v>2</v>
      </c>
      <c r="P78" s="17"/>
      <c r="Q78" s="17"/>
      <c r="R78" s="17"/>
      <c r="S78" s="17">
        <v>6</v>
      </c>
      <c r="T78" s="17"/>
      <c r="U78" s="17">
        <v>8</v>
      </c>
      <c r="V78" s="17">
        <v>26</v>
      </c>
      <c r="W78" s="17">
        <v>0.15</v>
      </c>
      <c r="X78" s="17">
        <v>40</v>
      </c>
      <c r="Y78" s="17">
        <v>8000</v>
      </c>
      <c r="Z78" s="17">
        <v>800</v>
      </c>
      <c r="AA78" s="17">
        <v>100</v>
      </c>
      <c r="AB78" s="17"/>
      <c r="AC78" s="17"/>
      <c r="AD78" s="17"/>
      <c r="AE78" s="19"/>
    </row>
    <row r="79" ht="32.2" customHeight="1">
      <c r="A79" t="s" s="36">
        <v>134</v>
      </c>
      <c r="B79" t="s" s="32">
        <v>132</v>
      </c>
      <c r="C79" t="s" s="21">
        <v>33</v>
      </c>
      <c r="D79" s="22"/>
      <c r="E79" s="22"/>
      <c r="F79" s="23">
        <v>12.1</v>
      </c>
      <c r="G79" s="22">
        <v>89</v>
      </c>
      <c r="H79" s="22">
        <v>96</v>
      </c>
      <c r="I79" s="22">
        <v>73</v>
      </c>
      <c r="J79" s="22"/>
      <c r="K79" s="22">
        <v>12</v>
      </c>
      <c r="L79" s="22">
        <v>4.5</v>
      </c>
      <c r="M79" s="22"/>
      <c r="N79" s="22"/>
      <c r="O79" s="22">
        <v>3</v>
      </c>
      <c r="P79" s="22"/>
      <c r="Q79" s="22"/>
      <c r="R79" s="22"/>
      <c r="S79" s="22">
        <v>22</v>
      </c>
      <c r="T79" s="22">
        <v>1</v>
      </c>
      <c r="U79" s="22">
        <v>28</v>
      </c>
      <c r="V79" s="22">
        <v>85</v>
      </c>
      <c r="W79" s="22">
        <v>0.5</v>
      </c>
      <c r="X79" s="22">
        <v>135</v>
      </c>
      <c r="Y79" s="22">
        <v>16000</v>
      </c>
      <c r="Z79" s="22">
        <v>1600</v>
      </c>
      <c r="AA79" s="22">
        <v>460</v>
      </c>
      <c r="AB79" s="22"/>
      <c r="AC79" s="22"/>
      <c r="AD79" s="22"/>
      <c r="AE79" s="24"/>
    </row>
    <row r="80" ht="20.2" customHeight="1">
      <c r="A80" t="s" s="36">
        <v>135</v>
      </c>
      <c r="B80" t="s" s="25">
        <v>132</v>
      </c>
      <c r="C80" t="s" s="16">
        <v>33</v>
      </c>
      <c r="D80" s="17"/>
      <c r="E80" s="17"/>
      <c r="F80" s="18">
        <v>12.8</v>
      </c>
      <c r="G80" s="17">
        <v>118</v>
      </c>
      <c r="H80" s="17">
        <v>57</v>
      </c>
      <c r="I80" s="17">
        <v>65</v>
      </c>
      <c r="J80" s="17"/>
      <c r="K80" s="17">
        <v>0</v>
      </c>
      <c r="L80" s="17">
        <v>5</v>
      </c>
      <c r="M80" s="17"/>
      <c r="N80" s="17"/>
      <c r="O80" s="17">
        <v>1.5</v>
      </c>
      <c r="P80" s="17"/>
      <c r="Q80" s="17"/>
      <c r="R80" s="17"/>
      <c r="S80" s="17">
        <v>10</v>
      </c>
      <c r="T80" s="17"/>
      <c r="U80" s="17">
        <v>13</v>
      </c>
      <c r="V80" s="17">
        <v>40</v>
      </c>
      <c r="W80" s="17">
        <v>0.2</v>
      </c>
      <c r="X80" s="17">
        <v>65</v>
      </c>
      <c r="Y80" s="17">
        <v>12000</v>
      </c>
      <c r="Z80" s="17">
        <v>1200</v>
      </c>
      <c r="AA80" s="17">
        <v>350</v>
      </c>
      <c r="AB80" s="17"/>
      <c r="AC80" s="17"/>
      <c r="AD80" s="17"/>
      <c r="AE80" s="19"/>
    </row>
    <row r="81" ht="32.2" customHeight="1">
      <c r="A81" t="s" s="36">
        <v>136</v>
      </c>
      <c r="B81" t="s" s="32">
        <v>132</v>
      </c>
      <c r="C81" t="s" s="21">
        <v>33</v>
      </c>
      <c r="D81" s="22"/>
      <c r="E81" s="22"/>
      <c r="F81" s="23">
        <v>11.5</v>
      </c>
      <c r="G81" s="22">
        <v>170</v>
      </c>
      <c r="H81" s="22">
        <v>170</v>
      </c>
      <c r="I81" s="22">
        <v>110</v>
      </c>
      <c r="J81" s="22"/>
      <c r="K81" s="22">
        <v>20</v>
      </c>
      <c r="L81" s="22">
        <v>5.5</v>
      </c>
      <c r="M81" s="22">
        <v>3</v>
      </c>
      <c r="N81" s="22"/>
      <c r="O81" s="22">
        <v>0.5</v>
      </c>
      <c r="P81" s="22"/>
      <c r="Q81" s="22"/>
      <c r="R81" s="22"/>
      <c r="S81" s="22"/>
      <c r="T81" s="22"/>
      <c r="U81" s="22"/>
      <c r="V81" s="22">
        <v>110</v>
      </c>
      <c r="W81" s="22">
        <v>1</v>
      </c>
      <c r="X81" s="22">
        <v>310</v>
      </c>
      <c r="Y81" s="22">
        <v>25000</v>
      </c>
      <c r="Z81" s="22">
        <v>2500</v>
      </c>
      <c r="AA81" s="22">
        <v>250</v>
      </c>
      <c r="AB81" s="22">
        <v>13</v>
      </c>
      <c r="AC81" s="22">
        <v>13</v>
      </c>
      <c r="AD81" s="22"/>
      <c r="AE81" s="24"/>
    </row>
    <row r="82" ht="20.2" customHeight="1">
      <c r="A82" t="s" s="36">
        <v>137</v>
      </c>
      <c r="B82" t="s" s="25">
        <v>132</v>
      </c>
      <c r="C82" t="s" s="16">
        <v>33</v>
      </c>
      <c r="D82" s="17"/>
      <c r="E82" s="17"/>
      <c r="F82" s="18">
        <v>10.4</v>
      </c>
      <c r="G82" s="17">
        <v>89</v>
      </c>
      <c r="H82" s="17">
        <v>80</v>
      </c>
      <c r="I82" s="17">
        <v>23</v>
      </c>
      <c r="J82" s="17"/>
      <c r="K82" s="17">
        <v>17</v>
      </c>
      <c r="L82" s="17">
        <v>5</v>
      </c>
      <c r="M82" s="17">
        <v>2</v>
      </c>
      <c r="N82" s="17"/>
      <c r="O82" s="17"/>
      <c r="P82" s="17"/>
      <c r="Q82" s="17"/>
      <c r="R82" s="17"/>
      <c r="S82" s="17">
        <v>18</v>
      </c>
      <c r="T82" s="17">
        <v>1</v>
      </c>
      <c r="U82" s="17">
        <v>50</v>
      </c>
      <c r="V82" s="17">
        <v>80</v>
      </c>
      <c r="W82" s="17">
        <v>0.4</v>
      </c>
      <c r="X82" s="17">
        <v>120</v>
      </c>
      <c r="Y82" s="17">
        <v>25000</v>
      </c>
      <c r="Z82" s="17">
        <v>1500</v>
      </c>
      <c r="AA82" s="17">
        <v>300</v>
      </c>
      <c r="AB82" s="17">
        <v>2.9</v>
      </c>
      <c r="AC82" s="17">
        <v>3.9</v>
      </c>
      <c r="AD82" s="17"/>
      <c r="AE82" s="19">
        <v>60</v>
      </c>
    </row>
    <row r="83" ht="32.2" customHeight="1">
      <c r="A83" t="s" s="36">
        <v>138</v>
      </c>
      <c r="B83" t="s" s="32">
        <v>132</v>
      </c>
      <c r="C83" t="s" s="21">
        <v>33</v>
      </c>
      <c r="D83" s="22"/>
      <c r="E83" s="22"/>
      <c r="F83" s="23">
        <v>12</v>
      </c>
      <c r="G83" s="22">
        <v>163</v>
      </c>
      <c r="H83" s="22">
        <v>130</v>
      </c>
      <c r="I83" s="22">
        <v>142</v>
      </c>
      <c r="J83" s="22"/>
      <c r="K83" s="22">
        <v>14</v>
      </c>
      <c r="L83" s="22">
        <v>6</v>
      </c>
      <c r="M83" s="22"/>
      <c r="N83" s="22"/>
      <c r="O83" s="22">
        <v>5</v>
      </c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4"/>
    </row>
    <row r="84" ht="32.2" customHeight="1">
      <c r="A84" t="s" s="36">
        <v>139</v>
      </c>
      <c r="B84" t="s" s="25">
        <v>132</v>
      </c>
      <c r="C84" t="s" s="16">
        <v>33</v>
      </c>
      <c r="D84" s="17"/>
      <c r="E84" s="17"/>
      <c r="F84" s="18">
        <v>9.1</v>
      </c>
      <c r="G84" s="17">
        <v>132</v>
      </c>
      <c r="H84" s="17">
        <v>223</v>
      </c>
      <c r="I84" s="17">
        <v>58</v>
      </c>
      <c r="J84" s="17"/>
      <c r="K84" s="17">
        <v>18</v>
      </c>
      <c r="L84" s="17">
        <v>4</v>
      </c>
      <c r="M84" s="17"/>
      <c r="N84" s="17"/>
      <c r="O84" s="17">
        <v>2.5</v>
      </c>
      <c r="P84" s="17"/>
      <c r="Q84" s="17"/>
      <c r="R84" s="17"/>
      <c r="S84" s="17">
        <v>20</v>
      </c>
      <c r="T84" s="17"/>
      <c r="U84" s="17">
        <v>85</v>
      </c>
      <c r="V84" s="17">
        <v>72</v>
      </c>
      <c r="W84" s="17">
        <v>0.35</v>
      </c>
      <c r="X84" s="17">
        <v>120</v>
      </c>
      <c r="Y84" s="17">
        <v>8500</v>
      </c>
      <c r="Z84" s="17">
        <v>800</v>
      </c>
      <c r="AA84" s="17">
        <v>200</v>
      </c>
      <c r="AB84" s="17"/>
      <c r="AC84" s="17"/>
      <c r="AD84" s="17"/>
      <c r="AE84" s="19"/>
    </row>
    <row r="85" ht="20.2" customHeight="1">
      <c r="A85" t="s" s="36">
        <v>140</v>
      </c>
      <c r="B85" t="s" s="32">
        <v>132</v>
      </c>
      <c r="C85" t="s" s="21">
        <v>33</v>
      </c>
      <c r="D85" s="22"/>
      <c r="E85" s="22"/>
      <c r="F85" s="23">
        <v>9.800000000000001</v>
      </c>
      <c r="G85" s="22">
        <v>102</v>
      </c>
      <c r="H85" s="22">
        <v>148</v>
      </c>
      <c r="I85" s="22">
        <v>34</v>
      </c>
      <c r="J85" s="22"/>
      <c r="K85" s="22">
        <v>16</v>
      </c>
      <c r="L85" s="22">
        <v>4</v>
      </c>
      <c r="M85" s="22"/>
      <c r="N85" s="22"/>
      <c r="O85" s="22">
        <v>4</v>
      </c>
      <c r="P85" s="22"/>
      <c r="Q85" s="22"/>
      <c r="R85" s="22"/>
      <c r="S85" s="22">
        <v>16</v>
      </c>
      <c r="T85" s="22"/>
      <c r="U85" s="22">
        <v>20</v>
      </c>
      <c r="V85" s="22">
        <v>64</v>
      </c>
      <c r="W85" s="22">
        <v>0.36</v>
      </c>
      <c r="X85" s="22">
        <v>100</v>
      </c>
      <c r="Y85" s="22">
        <v>20000</v>
      </c>
      <c r="Z85" s="22">
        <v>2000</v>
      </c>
      <c r="AA85" s="22">
        <v>250</v>
      </c>
      <c r="AB85" s="22"/>
      <c r="AC85" s="22"/>
      <c r="AD85" s="22"/>
      <c r="AE85" s="24"/>
    </row>
    <row r="86" ht="20.2" customHeight="1">
      <c r="A86" t="s" s="14">
        <v>141</v>
      </c>
      <c r="B86" t="s" s="25">
        <v>142</v>
      </c>
      <c r="C86" t="s" s="16">
        <v>33</v>
      </c>
      <c r="D86" s="17"/>
      <c r="E86" s="17"/>
      <c r="F86" s="18">
        <v>13</v>
      </c>
      <c r="G86" s="17">
        <v>115</v>
      </c>
      <c r="H86" s="17">
        <v>70</v>
      </c>
      <c r="I86" s="17">
        <v>30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9"/>
    </row>
    <row r="87" ht="20.2" customHeight="1">
      <c r="A87" t="s" s="14">
        <v>143</v>
      </c>
      <c r="B87" t="s" s="32">
        <v>142</v>
      </c>
      <c r="C87" t="s" s="21">
        <v>33</v>
      </c>
      <c r="D87" s="22"/>
      <c r="E87" s="22"/>
      <c r="F87" s="23">
        <v>13</v>
      </c>
      <c r="G87" s="22">
        <v>90</v>
      </c>
      <c r="H87" s="22">
        <v>80</v>
      </c>
      <c r="I87" s="22">
        <v>30</v>
      </c>
      <c r="J87" s="22"/>
      <c r="K87" s="22">
        <v>9</v>
      </c>
      <c r="L87" s="22">
        <v>4</v>
      </c>
      <c r="M87" s="22">
        <v>7</v>
      </c>
      <c r="N87" s="22"/>
      <c r="O87" s="22"/>
      <c r="P87" s="22"/>
      <c r="Q87" s="22"/>
      <c r="R87" s="22">
        <v>2</v>
      </c>
      <c r="S87" s="22">
        <v>10</v>
      </c>
      <c r="T87" s="22">
        <v>2</v>
      </c>
      <c r="U87" s="22">
        <v>140</v>
      </c>
      <c r="V87" s="22"/>
      <c r="W87" s="22">
        <v>0.5</v>
      </c>
      <c r="X87" s="22">
        <v>120</v>
      </c>
      <c r="Y87" s="22">
        <v>10000</v>
      </c>
      <c r="Z87" s="22">
        <v>2000</v>
      </c>
      <c r="AA87" s="22">
        <v>180</v>
      </c>
      <c r="AB87" s="22">
        <v>5</v>
      </c>
      <c r="AC87" s="22">
        <v>10</v>
      </c>
      <c r="AD87" s="22">
        <v>2</v>
      </c>
      <c r="AE87" s="24">
        <v>80</v>
      </c>
    </row>
    <row r="88" ht="20.2" customHeight="1">
      <c r="A88" t="s" s="14">
        <v>144</v>
      </c>
      <c r="B88" t="s" s="25">
        <v>142</v>
      </c>
      <c r="C88" t="s" s="16">
        <v>33</v>
      </c>
      <c r="D88" s="17"/>
      <c r="E88" s="17"/>
      <c r="F88" s="18">
        <v>11.5</v>
      </c>
      <c r="G88" s="17">
        <v>150</v>
      </c>
      <c r="H88" s="17">
        <v>60</v>
      </c>
      <c r="I88" s="17">
        <v>40</v>
      </c>
      <c r="J88" s="17"/>
      <c r="K88" s="17">
        <v>11</v>
      </c>
      <c r="L88" s="17">
        <v>7</v>
      </c>
      <c r="M88" s="17">
        <v>6</v>
      </c>
      <c r="N88" s="17"/>
      <c r="O88" s="17"/>
      <c r="P88" s="17"/>
      <c r="Q88" s="17"/>
      <c r="R88" s="17">
        <v>1.5</v>
      </c>
      <c r="S88" s="17">
        <v>30</v>
      </c>
      <c r="T88" s="17">
        <v>2</v>
      </c>
      <c r="U88" s="17">
        <v>200</v>
      </c>
      <c r="V88" s="17"/>
      <c r="W88" s="17">
        <v>0.85</v>
      </c>
      <c r="X88" s="17">
        <v>140</v>
      </c>
      <c r="Y88" s="17"/>
      <c r="Z88" s="17">
        <v>4000</v>
      </c>
      <c r="AA88" s="17">
        <v>200</v>
      </c>
      <c r="AB88" s="17">
        <v>4</v>
      </c>
      <c r="AC88" s="17">
        <v>7</v>
      </c>
      <c r="AD88" s="17">
        <v>3</v>
      </c>
      <c r="AE88" s="19">
        <v>180</v>
      </c>
    </row>
    <row r="89" ht="20.2" customHeight="1">
      <c r="A89" t="s" s="14">
        <v>145</v>
      </c>
      <c r="B89" t="s" s="32">
        <v>146</v>
      </c>
      <c r="C89" t="s" s="21">
        <v>33</v>
      </c>
      <c r="D89" s="22"/>
      <c r="E89" s="22"/>
      <c r="F89" s="23">
        <v>13</v>
      </c>
      <c r="G89" s="22">
        <v>160</v>
      </c>
      <c r="H89" s="22">
        <v>85</v>
      </c>
      <c r="I89" s="22">
        <v>40</v>
      </c>
      <c r="J89" s="22">
        <v>8</v>
      </c>
      <c r="K89" s="22">
        <v>10</v>
      </c>
      <c r="L89" s="22">
        <v>70</v>
      </c>
      <c r="M89" s="22"/>
      <c r="N89" s="22"/>
      <c r="O89" s="22"/>
      <c r="P89" s="22"/>
      <c r="Q89" s="22"/>
      <c r="R89" s="22"/>
      <c r="S89" s="22">
        <v>10</v>
      </c>
      <c r="T89" s="22"/>
      <c r="U89" s="22"/>
      <c r="V89" s="22"/>
      <c r="W89" s="22">
        <v>0.5</v>
      </c>
      <c r="X89" s="22">
        <v>145</v>
      </c>
      <c r="Y89" s="22">
        <v>10000</v>
      </c>
      <c r="Z89" s="22">
        <v>1000</v>
      </c>
      <c r="AA89" s="22">
        <v>140</v>
      </c>
      <c r="AB89" s="22"/>
      <c r="AC89" s="22"/>
      <c r="AD89" s="22"/>
      <c r="AE89" s="24"/>
    </row>
    <row r="90" ht="20.2" customHeight="1">
      <c r="A90" t="s" s="14">
        <v>147</v>
      </c>
      <c r="B90" t="s" s="25">
        <v>148</v>
      </c>
      <c r="C90" t="s" s="16">
        <v>33</v>
      </c>
      <c r="D90" s="17"/>
      <c r="E90" s="17"/>
      <c r="F90" s="18">
        <v>11.2</v>
      </c>
      <c r="G90" s="17">
        <v>164</v>
      </c>
      <c r="H90" s="17">
        <v>182.5</v>
      </c>
      <c r="I90" s="17">
        <v>65</v>
      </c>
      <c r="J90" s="17">
        <v>7.5</v>
      </c>
      <c r="K90" s="17">
        <v>10.4</v>
      </c>
      <c r="L90" s="17">
        <v>5.2</v>
      </c>
      <c r="M90" s="17">
        <v>5.2</v>
      </c>
      <c r="N90" s="17"/>
      <c r="O90" s="17">
        <v>5.8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9"/>
    </row>
    <row r="91" ht="20.2" customHeight="1">
      <c r="A91" t="s" s="36">
        <v>149</v>
      </c>
      <c r="B91" t="s" s="32">
        <v>148</v>
      </c>
      <c r="C91" t="s" s="21">
        <v>33</v>
      </c>
      <c r="D91" s="22"/>
      <c r="E91" s="22"/>
      <c r="F91" s="23"/>
      <c r="G91" s="22">
        <v>175</v>
      </c>
      <c r="H91" s="22">
        <v>161.2</v>
      </c>
      <c r="I91" s="22">
        <v>67</v>
      </c>
      <c r="J91" s="22">
        <v>7.5</v>
      </c>
      <c r="K91" s="22">
        <v>11.2</v>
      </c>
      <c r="L91" s="22">
        <v>5.8</v>
      </c>
      <c r="M91" s="22">
        <v>5.9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4"/>
    </row>
    <row r="92" ht="20.2" customHeight="1">
      <c r="A92" t="s" s="36">
        <v>150</v>
      </c>
      <c r="B92" t="s" s="25">
        <v>148</v>
      </c>
      <c r="C92" t="s" s="16">
        <v>33</v>
      </c>
      <c r="D92" s="17"/>
      <c r="E92" s="17"/>
      <c r="F92" s="18">
        <v>11.6</v>
      </c>
      <c r="G92" s="17">
        <v>177</v>
      </c>
      <c r="H92" s="17">
        <v>151</v>
      </c>
      <c r="I92" s="17">
        <v>90</v>
      </c>
      <c r="J92" s="17">
        <v>7</v>
      </c>
      <c r="K92" s="17">
        <v>14</v>
      </c>
      <c r="L92" s="17">
        <v>7.3</v>
      </c>
      <c r="M92" s="17">
        <v>4.3</v>
      </c>
      <c r="N92" s="17"/>
      <c r="O92" s="17">
        <v>5</v>
      </c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9"/>
    </row>
    <row r="93" ht="20.2" customHeight="1">
      <c r="A93" t="s" s="36">
        <v>151</v>
      </c>
      <c r="B93" t="s" s="32">
        <v>148</v>
      </c>
      <c r="C93" t="s" s="21">
        <v>33</v>
      </c>
      <c r="D93" s="22"/>
      <c r="E93" s="22"/>
      <c r="F93" s="23">
        <v>11.8</v>
      </c>
      <c r="G93" s="22">
        <v>117.5</v>
      </c>
      <c r="H93" s="22">
        <v>182</v>
      </c>
      <c r="I93" s="22">
        <v>73.5</v>
      </c>
      <c r="J93" s="22">
        <v>6.4</v>
      </c>
      <c r="K93" s="22">
        <v>10.8</v>
      </c>
      <c r="L93" s="22">
        <v>6.3</v>
      </c>
      <c r="M93" s="22">
        <v>5.8</v>
      </c>
      <c r="N93" s="22"/>
      <c r="O93" s="22">
        <v>7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4"/>
    </row>
    <row r="94" ht="20.2" customHeight="1">
      <c r="A94" t="s" s="36">
        <v>152</v>
      </c>
      <c r="B94" t="s" s="25">
        <v>148</v>
      </c>
      <c r="C94" t="s" s="16">
        <v>33</v>
      </c>
      <c r="D94" s="17"/>
      <c r="E94" s="17"/>
      <c r="F94" s="18">
        <v>11.7</v>
      </c>
      <c r="G94" s="17">
        <v>164.5</v>
      </c>
      <c r="H94" s="17">
        <v>175.6</v>
      </c>
      <c r="I94" s="17">
        <v>100</v>
      </c>
      <c r="J94" s="17">
        <v>7.9</v>
      </c>
      <c r="K94" s="17">
        <v>17</v>
      </c>
      <c r="L94" s="17">
        <v>8</v>
      </c>
      <c r="M94" s="17">
        <v>5</v>
      </c>
      <c r="N94" s="17"/>
      <c r="O94" s="17">
        <v>6</v>
      </c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9"/>
    </row>
    <row r="95" ht="20.2" customHeight="1">
      <c r="A95" t="s" s="36">
        <v>153</v>
      </c>
      <c r="B95" t="s" s="32">
        <v>148</v>
      </c>
      <c r="C95" t="s" s="21">
        <v>33</v>
      </c>
      <c r="D95" s="22"/>
      <c r="E95" s="22"/>
      <c r="F95" s="23"/>
      <c r="G95" s="22">
        <v>107</v>
      </c>
      <c r="H95" s="22">
        <v>190</v>
      </c>
      <c r="I95" s="22">
        <v>42.5</v>
      </c>
      <c r="J95" s="22">
        <v>5.5</v>
      </c>
      <c r="K95" s="22">
        <v>11.7</v>
      </c>
      <c r="L95" s="22">
        <v>4.9</v>
      </c>
      <c r="M95" s="22">
        <v>5.5</v>
      </c>
      <c r="N95" s="22"/>
      <c r="O95" s="22">
        <v>4.8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4"/>
    </row>
    <row r="96" ht="20.2" customHeight="1">
      <c r="A96" t="s" s="36">
        <v>154</v>
      </c>
      <c r="B96" t="s" s="25">
        <v>155</v>
      </c>
      <c r="C96" t="s" s="16">
        <v>33</v>
      </c>
      <c r="D96" s="17"/>
      <c r="E96" s="17"/>
      <c r="F96" s="18">
        <v>12</v>
      </c>
      <c r="G96" s="17">
        <v>141</v>
      </c>
      <c r="H96" s="17">
        <v>150</v>
      </c>
      <c r="I96" s="17">
        <v>60</v>
      </c>
      <c r="J96" s="17">
        <v>6</v>
      </c>
      <c r="K96" s="17">
        <v>12.5</v>
      </c>
      <c r="L96" s="17">
        <v>4.8</v>
      </c>
      <c r="M96" s="17">
        <v>3.7</v>
      </c>
      <c r="N96" s="17">
        <v>15.4</v>
      </c>
      <c r="O96" s="17">
        <v>5.5</v>
      </c>
      <c r="P96" s="17"/>
      <c r="Q96" s="17"/>
      <c r="R96" s="17">
        <v>1.6</v>
      </c>
      <c r="S96" s="17">
        <v>24</v>
      </c>
      <c r="T96" s="17">
        <v>1</v>
      </c>
      <c r="U96" s="17">
        <v>430</v>
      </c>
      <c r="V96" s="17">
        <v>120</v>
      </c>
      <c r="W96" s="17">
        <v>0.515</v>
      </c>
      <c r="X96" s="17">
        <v>217</v>
      </c>
      <c r="Y96" s="17">
        <v>19920</v>
      </c>
      <c r="Z96" s="17">
        <v>3320</v>
      </c>
      <c r="AA96" s="17">
        <v>400</v>
      </c>
      <c r="AB96" s="17">
        <v>4.1</v>
      </c>
      <c r="AC96" s="17">
        <v>6.8</v>
      </c>
      <c r="AD96" s="17">
        <v>1.4</v>
      </c>
      <c r="AE96" s="19">
        <v>250</v>
      </c>
    </row>
    <row r="97" ht="20.2" customHeight="1">
      <c r="A97" t="s" s="36">
        <v>156</v>
      </c>
      <c r="B97" t="s" s="32">
        <v>155</v>
      </c>
      <c r="C97" t="s" s="21">
        <v>33</v>
      </c>
      <c r="D97" s="22"/>
      <c r="E97" s="22"/>
      <c r="F97" s="23">
        <v>13</v>
      </c>
      <c r="G97" s="22">
        <v>142</v>
      </c>
      <c r="H97" s="22">
        <v>114</v>
      </c>
      <c r="I97" s="22">
        <v>66</v>
      </c>
      <c r="J97" s="22">
        <v>6.5</v>
      </c>
      <c r="K97" s="22">
        <v>10.2</v>
      </c>
      <c r="L97" s="22">
        <v>4.3</v>
      </c>
      <c r="M97" s="22">
        <v>2.9</v>
      </c>
      <c r="N97" s="22">
        <v>11.8</v>
      </c>
      <c r="O97" s="22">
        <v>2.9</v>
      </c>
      <c r="P97" s="22"/>
      <c r="Q97" s="22"/>
      <c r="R97" s="22"/>
      <c r="S97" s="22">
        <v>25.5</v>
      </c>
      <c r="T97" s="22">
        <v>1.4</v>
      </c>
      <c r="U97" s="22">
        <v>358</v>
      </c>
      <c r="V97" s="22">
        <v>132</v>
      </c>
      <c r="W97" s="22">
        <v>0.48</v>
      </c>
      <c r="X97" s="22">
        <v>261</v>
      </c>
      <c r="Y97" s="22">
        <v>23053</v>
      </c>
      <c r="Z97" s="22">
        <v>3842</v>
      </c>
      <c r="AA97" s="22">
        <v>376</v>
      </c>
      <c r="AB97" s="22">
        <v>5.5</v>
      </c>
      <c r="AC97" s="22">
        <v>9.1</v>
      </c>
      <c r="AD97" s="22">
        <v>1.8</v>
      </c>
      <c r="AE97" s="24">
        <v>83.75</v>
      </c>
    </row>
    <row r="98" ht="20.2" customHeight="1">
      <c r="A98" t="s" s="14">
        <v>157</v>
      </c>
      <c r="B98" t="s" s="25">
        <v>158</v>
      </c>
      <c r="C98" t="s" s="16">
        <v>33</v>
      </c>
      <c r="D98" s="17"/>
      <c r="E98" s="17"/>
      <c r="F98" s="18">
        <v>11</v>
      </c>
      <c r="G98" s="17">
        <v>130</v>
      </c>
      <c r="H98" s="17">
        <v>75</v>
      </c>
      <c r="I98" s="17">
        <v>25</v>
      </c>
      <c r="J98" s="17"/>
      <c r="K98" s="17">
        <v>15</v>
      </c>
      <c r="L98" s="17">
        <v>6</v>
      </c>
      <c r="M98" s="17">
        <v>2.5</v>
      </c>
      <c r="N98" s="17"/>
      <c r="O98" s="17">
        <v>3</v>
      </c>
      <c r="P98" s="17"/>
      <c r="Q98" s="17"/>
      <c r="R98" s="17">
        <v>0.2</v>
      </c>
      <c r="S98" s="17">
        <v>12</v>
      </c>
      <c r="T98" s="17">
        <v>0.83</v>
      </c>
      <c r="U98" s="17"/>
      <c r="V98" s="17">
        <v>40</v>
      </c>
      <c r="W98" s="17">
        <v>0.5</v>
      </c>
      <c r="X98" s="17">
        <v>90</v>
      </c>
      <c r="Y98" s="17">
        <v>10000</v>
      </c>
      <c r="Z98" s="17">
        <v>1600</v>
      </c>
      <c r="AA98" s="17">
        <v>500</v>
      </c>
      <c r="AB98" s="17">
        <v>0.2</v>
      </c>
      <c r="AC98" s="17">
        <v>0.3</v>
      </c>
      <c r="AD98" s="17"/>
      <c r="AE98" s="19"/>
    </row>
    <row r="99" ht="20.2" customHeight="1">
      <c r="A99" t="s" s="14">
        <v>159</v>
      </c>
      <c r="B99" t="s" s="32">
        <v>158</v>
      </c>
      <c r="C99" t="s" s="21">
        <v>33</v>
      </c>
      <c r="D99" s="22"/>
      <c r="E99" s="22"/>
      <c r="F99" s="23">
        <v>12.2</v>
      </c>
      <c r="G99" s="22">
        <v>110</v>
      </c>
      <c r="H99" s="22">
        <v>50</v>
      </c>
      <c r="I99" s="22">
        <v>30</v>
      </c>
      <c r="J99" s="22"/>
      <c r="K99" s="22">
        <v>11</v>
      </c>
      <c r="L99" s="22">
        <v>4</v>
      </c>
      <c r="M99" s="22">
        <v>1</v>
      </c>
      <c r="N99" s="22"/>
      <c r="O99" s="22">
        <v>3</v>
      </c>
      <c r="P99" s="22"/>
      <c r="Q99" s="22"/>
      <c r="R99" s="22">
        <v>1</v>
      </c>
      <c r="S99" s="22">
        <v>15</v>
      </c>
      <c r="T99" s="22">
        <v>0.7</v>
      </c>
      <c r="U99" s="22">
        <v>125</v>
      </c>
      <c r="V99" s="22">
        <v>50</v>
      </c>
      <c r="W99" s="22">
        <v>0.3</v>
      </c>
      <c r="X99" s="22">
        <v>71</v>
      </c>
      <c r="Y99" s="22">
        <v>22200</v>
      </c>
      <c r="Z99" s="22">
        <v>2200</v>
      </c>
      <c r="AA99" s="22">
        <v>300</v>
      </c>
      <c r="AB99" s="22">
        <v>4</v>
      </c>
      <c r="AC99" s="22">
        <v>5</v>
      </c>
      <c r="AD99" s="22"/>
      <c r="AE99" s="24">
        <v>50</v>
      </c>
    </row>
    <row r="100" ht="20.2" customHeight="1">
      <c r="A100" t="s" s="14">
        <v>160</v>
      </c>
      <c r="B100" t="s" s="25">
        <v>158</v>
      </c>
      <c r="C100" t="s" s="16">
        <v>33</v>
      </c>
      <c r="D100" s="17"/>
      <c r="E100" s="17"/>
      <c r="F100" s="18">
        <v>11</v>
      </c>
      <c r="G100" s="17">
        <v>145</v>
      </c>
      <c r="H100" s="17">
        <v>115</v>
      </c>
      <c r="I100" s="17">
        <v>48</v>
      </c>
      <c r="J100" s="17"/>
      <c r="K100" s="17">
        <v>13.5</v>
      </c>
      <c r="L100" s="17">
        <v>8</v>
      </c>
      <c r="M100" s="17">
        <v>2.5</v>
      </c>
      <c r="N100" s="17"/>
      <c r="O100" s="17">
        <v>1</v>
      </c>
      <c r="P100" s="17"/>
      <c r="Q100" s="17"/>
      <c r="R100" s="17">
        <v>0.2</v>
      </c>
      <c r="S100" s="17">
        <v>12</v>
      </c>
      <c r="T100" s="17">
        <v>0.83</v>
      </c>
      <c r="U100" s="17"/>
      <c r="V100" s="17">
        <v>40</v>
      </c>
      <c r="W100" s="17">
        <v>0.5</v>
      </c>
      <c r="X100" s="17">
        <v>90</v>
      </c>
      <c r="Y100" s="17">
        <v>10000</v>
      </c>
      <c r="Z100" s="17">
        <v>1600</v>
      </c>
      <c r="AA100" s="17">
        <v>50</v>
      </c>
      <c r="AB100" s="17"/>
      <c r="AC100" s="17"/>
      <c r="AD100" s="17"/>
      <c r="AE100" s="19"/>
    </row>
    <row r="101" ht="20.2" customHeight="1">
      <c r="A101" t="s" s="14">
        <v>161</v>
      </c>
      <c r="B101" t="s" s="32">
        <v>158</v>
      </c>
      <c r="C101" t="s" s="21">
        <v>162</v>
      </c>
      <c r="D101" s="22"/>
      <c r="E101" s="22"/>
      <c r="F101" s="23">
        <v>12.8</v>
      </c>
      <c r="G101" s="22">
        <v>217</v>
      </c>
      <c r="H101" s="22"/>
      <c r="I101" s="22"/>
      <c r="J101" s="22"/>
      <c r="K101" s="22">
        <v>142</v>
      </c>
      <c r="L101" s="22">
        <v>50</v>
      </c>
      <c r="M101" s="22">
        <v>15</v>
      </c>
      <c r="N101" s="22"/>
      <c r="O101" s="22">
        <v>50</v>
      </c>
      <c r="P101" s="22"/>
      <c r="Q101" s="22"/>
      <c r="R101" s="22">
        <v>10</v>
      </c>
      <c r="S101" s="22">
        <v>600</v>
      </c>
      <c r="T101" s="22">
        <v>50</v>
      </c>
      <c r="U101" s="22">
        <v>1300</v>
      </c>
      <c r="V101" s="22">
        <v>1500</v>
      </c>
      <c r="W101" s="22">
        <v>25</v>
      </c>
      <c r="X101" s="22">
        <v>4800</v>
      </c>
      <c r="Y101" s="22">
        <v>600000</v>
      </c>
      <c r="Z101" s="22">
        <v>60000</v>
      </c>
      <c r="AA101" s="22">
        <v>5000</v>
      </c>
      <c r="AB101" s="22">
        <v>100</v>
      </c>
      <c r="AC101" s="22">
        <v>160</v>
      </c>
      <c r="AD101" s="22"/>
      <c r="AE101" s="24">
        <v>4000</v>
      </c>
    </row>
    <row r="102" ht="20.2" customHeight="1">
      <c r="A102" t="s" s="14">
        <v>163</v>
      </c>
      <c r="B102" t="s" s="25">
        <v>158</v>
      </c>
      <c r="C102" t="s" s="16">
        <v>33</v>
      </c>
      <c r="D102" s="17"/>
      <c r="E102" s="17"/>
      <c r="F102" s="18">
        <v>9.800000000000001</v>
      </c>
      <c r="G102" s="17">
        <v>110</v>
      </c>
      <c r="H102" s="17">
        <v>150</v>
      </c>
      <c r="I102" s="17">
        <v>24</v>
      </c>
      <c r="J102" s="17"/>
      <c r="K102" s="17">
        <v>13.5</v>
      </c>
      <c r="L102" s="17">
        <v>4</v>
      </c>
      <c r="M102" s="17">
        <v>2</v>
      </c>
      <c r="N102" s="17"/>
      <c r="O102" s="17">
        <v>3</v>
      </c>
      <c r="P102" s="17"/>
      <c r="Q102" s="17"/>
      <c r="R102" s="17"/>
      <c r="S102" s="17">
        <v>10</v>
      </c>
      <c r="T102" s="17">
        <v>2.1</v>
      </c>
      <c r="U102" s="17">
        <v>83</v>
      </c>
      <c r="V102" s="17">
        <v>67</v>
      </c>
      <c r="W102" s="17">
        <v>0.3</v>
      </c>
      <c r="X102" s="17">
        <v>67</v>
      </c>
      <c r="Y102" s="17">
        <v>8000</v>
      </c>
      <c r="Z102" s="17">
        <v>1250</v>
      </c>
      <c r="AA102" s="17">
        <v>250</v>
      </c>
      <c r="AB102" s="17"/>
      <c r="AC102" s="17"/>
      <c r="AD102" s="17"/>
      <c r="AE102" s="19"/>
    </row>
    <row r="103" ht="32.2" customHeight="1">
      <c r="A103" t="s" s="14">
        <v>164</v>
      </c>
      <c r="B103" t="s" s="32">
        <v>158</v>
      </c>
      <c r="C103" t="s" s="21">
        <v>33</v>
      </c>
      <c r="D103" s="22"/>
      <c r="E103" s="22"/>
      <c r="F103" s="23">
        <v>11</v>
      </c>
      <c r="G103" s="22">
        <v>108</v>
      </c>
      <c r="H103" s="22">
        <v>95</v>
      </c>
      <c r="I103" s="22">
        <v>35</v>
      </c>
      <c r="J103" s="22"/>
      <c r="K103" s="22">
        <v>9.199999999999999</v>
      </c>
      <c r="L103" s="22">
        <v>4</v>
      </c>
      <c r="M103" s="22">
        <v>2</v>
      </c>
      <c r="N103" s="22"/>
      <c r="O103" s="22">
        <v>3</v>
      </c>
      <c r="P103" s="22"/>
      <c r="Q103" s="22"/>
      <c r="R103" s="22"/>
      <c r="S103" s="22">
        <v>7.5</v>
      </c>
      <c r="T103" s="22">
        <v>0.37</v>
      </c>
      <c r="U103" s="22">
        <v>61</v>
      </c>
      <c r="V103" s="22"/>
      <c r="W103" s="22">
        <v>0.15</v>
      </c>
      <c r="X103" s="22">
        <v>35</v>
      </c>
      <c r="Y103" s="22">
        <v>12500</v>
      </c>
      <c r="Z103" s="22">
        <v>1250</v>
      </c>
      <c r="AA103" s="22">
        <v>150</v>
      </c>
      <c r="AB103" s="22"/>
      <c r="AC103" s="22"/>
      <c r="AD103" s="22"/>
      <c r="AE103" s="24"/>
    </row>
    <row r="104" ht="20.2" customHeight="1">
      <c r="A104" t="s" s="14">
        <v>165</v>
      </c>
      <c r="B104" t="s" s="25">
        <v>158</v>
      </c>
      <c r="C104" t="s" s="16">
        <v>33</v>
      </c>
      <c r="D104" s="17"/>
      <c r="E104" s="17"/>
      <c r="F104" s="18">
        <v>9.699999999999999</v>
      </c>
      <c r="G104" s="17">
        <v>132</v>
      </c>
      <c r="H104" s="17">
        <v>277</v>
      </c>
      <c r="I104" s="17">
        <v>55</v>
      </c>
      <c r="J104" s="17"/>
      <c r="K104" s="17">
        <v>12</v>
      </c>
      <c r="L104" s="17">
        <v>5</v>
      </c>
      <c r="M104" s="17">
        <v>2</v>
      </c>
      <c r="N104" s="17"/>
      <c r="O104" s="17">
        <v>4</v>
      </c>
      <c r="P104" s="17"/>
      <c r="Q104" s="17"/>
      <c r="R104" s="17"/>
      <c r="S104" s="17">
        <v>20</v>
      </c>
      <c r="T104" s="17">
        <v>2</v>
      </c>
      <c r="U104" s="17">
        <v>76</v>
      </c>
      <c r="V104" s="17">
        <v>60</v>
      </c>
      <c r="W104" s="17">
        <v>0.4</v>
      </c>
      <c r="X104" s="17">
        <v>126</v>
      </c>
      <c r="Y104" s="17">
        <v>14205</v>
      </c>
      <c r="Z104" s="17">
        <v>3927</v>
      </c>
      <c r="AA104" s="17">
        <v>150</v>
      </c>
      <c r="AB104" s="17">
        <v>4</v>
      </c>
      <c r="AC104" s="17">
        <v>7</v>
      </c>
      <c r="AD104" s="17"/>
      <c r="AE104" s="19"/>
    </row>
    <row r="105" ht="20.2" customHeight="1">
      <c r="A105" t="s" s="37">
        <v>166</v>
      </c>
      <c r="B105" t="s" s="32">
        <v>158</v>
      </c>
      <c r="C105" t="s" s="21">
        <v>33</v>
      </c>
      <c r="D105" s="38"/>
      <c r="E105" s="38"/>
      <c r="F105" s="39">
        <v>9.75</v>
      </c>
      <c r="G105" s="38">
        <v>130</v>
      </c>
      <c r="H105" s="38">
        <v>260</v>
      </c>
      <c r="I105" s="38">
        <v>82</v>
      </c>
      <c r="J105" s="38">
        <v>4.5</v>
      </c>
      <c r="K105" s="38">
        <v>4</v>
      </c>
      <c r="L105" s="38">
        <v>3</v>
      </c>
      <c r="M105" s="38">
        <v>1.6</v>
      </c>
      <c r="N105" s="38"/>
      <c r="O105" s="38">
        <v>1.2</v>
      </c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40"/>
    </row>
    <row r="106" ht="20.2" customHeight="1">
      <c r="A106" t="s" s="14">
        <v>167</v>
      </c>
      <c r="B106" t="s" s="25">
        <v>158</v>
      </c>
      <c r="C106" t="s" s="16">
        <v>33</v>
      </c>
      <c r="D106" s="17"/>
      <c r="E106" s="17"/>
      <c r="F106" s="18">
        <v>13</v>
      </c>
      <c r="G106" s="17">
        <v>150</v>
      </c>
      <c r="H106" s="17">
        <v>89</v>
      </c>
      <c r="I106" s="17">
        <v>42</v>
      </c>
      <c r="J106" s="17">
        <v>8</v>
      </c>
      <c r="K106" s="17">
        <v>12</v>
      </c>
      <c r="L106" s="17">
        <v>6</v>
      </c>
      <c r="M106" s="17">
        <v>3</v>
      </c>
      <c r="N106" s="17"/>
      <c r="O106" s="17">
        <v>2</v>
      </c>
      <c r="P106" s="17"/>
      <c r="Q106" s="17"/>
      <c r="R106" s="17"/>
      <c r="S106" s="17">
        <v>18</v>
      </c>
      <c r="T106" s="17">
        <v>0.9</v>
      </c>
      <c r="U106" s="17">
        <v>150</v>
      </c>
      <c r="V106" s="17">
        <v>60</v>
      </c>
      <c r="W106" s="17">
        <v>0.36</v>
      </c>
      <c r="X106" s="17">
        <v>86</v>
      </c>
      <c r="Y106" s="17">
        <v>24000</v>
      </c>
      <c r="Z106" s="17">
        <v>4400</v>
      </c>
      <c r="AA106" s="17">
        <v>360</v>
      </c>
      <c r="AB106" s="17"/>
      <c r="AC106" s="17"/>
      <c r="AD106" s="17"/>
      <c r="AE106" s="19"/>
    </row>
    <row r="107" ht="20.2" customHeight="1">
      <c r="A107" t="s" s="14">
        <v>168</v>
      </c>
      <c r="B107" t="s" s="32">
        <v>37</v>
      </c>
      <c r="C107" t="s" s="21">
        <v>33</v>
      </c>
      <c r="D107" s="22"/>
      <c r="E107" s="22"/>
      <c r="F107" s="23">
        <v>11.6</v>
      </c>
      <c r="G107" s="22">
        <v>148</v>
      </c>
      <c r="H107" s="22">
        <v>152</v>
      </c>
      <c r="I107" s="22">
        <v>91</v>
      </c>
      <c r="J107" s="22">
        <v>8</v>
      </c>
      <c r="K107" s="22">
        <v>7.6</v>
      </c>
      <c r="L107" s="22">
        <v>4.2</v>
      </c>
      <c r="M107" s="22">
        <v>6.2</v>
      </c>
      <c r="N107" s="22">
        <v>9.1</v>
      </c>
      <c r="O107" s="22">
        <v>4.2</v>
      </c>
      <c r="P107" s="22">
        <v>7.4</v>
      </c>
      <c r="Q107" s="22"/>
      <c r="R107" s="22"/>
      <c r="S107" s="22">
        <v>113</v>
      </c>
      <c r="T107" s="22">
        <v>0.6</v>
      </c>
      <c r="U107" s="22">
        <v>172</v>
      </c>
      <c r="V107" s="22">
        <v>48</v>
      </c>
      <c r="W107" s="22">
        <v>0.7</v>
      </c>
      <c r="X107" s="22">
        <v>465</v>
      </c>
      <c r="Y107" s="22">
        <v>22000</v>
      </c>
      <c r="Z107" s="22">
        <v>1530</v>
      </c>
      <c r="AA107" s="22">
        <v>500</v>
      </c>
      <c r="AB107" s="22"/>
      <c r="AC107" s="22"/>
      <c r="AD107" s="22"/>
      <c r="AE107" s="24"/>
    </row>
    <row r="108" ht="20.2" customHeight="1">
      <c r="A108" t="s" s="14">
        <v>169</v>
      </c>
      <c r="B108" t="s" s="25">
        <v>37</v>
      </c>
      <c r="C108" t="s" s="16">
        <v>33</v>
      </c>
      <c r="D108" s="17"/>
      <c r="E108" s="17"/>
      <c r="F108" s="18">
        <v>11.7</v>
      </c>
      <c r="G108" s="17">
        <v>151</v>
      </c>
      <c r="H108" s="17">
        <v>161</v>
      </c>
      <c r="I108" s="17">
        <v>112</v>
      </c>
      <c r="J108" s="17">
        <v>8</v>
      </c>
      <c r="K108" s="17">
        <v>9.199999999999999</v>
      </c>
      <c r="L108" s="17">
        <v>4.2</v>
      </c>
      <c r="M108" s="17">
        <v>8.199999999999999</v>
      </c>
      <c r="N108" s="17">
        <v>10</v>
      </c>
      <c r="O108" s="17">
        <v>4.4</v>
      </c>
      <c r="P108" s="17">
        <v>7.3</v>
      </c>
      <c r="Q108" s="17"/>
      <c r="R108" s="17"/>
      <c r="S108" s="17">
        <v>124</v>
      </c>
      <c r="T108" s="17">
        <v>2.1</v>
      </c>
      <c r="U108" s="17">
        <v>195</v>
      </c>
      <c r="V108" s="17">
        <v>43</v>
      </c>
      <c r="W108" s="17">
        <v>0.8</v>
      </c>
      <c r="X108" s="17">
        <v>388</v>
      </c>
      <c r="Y108" s="17">
        <v>33000</v>
      </c>
      <c r="Z108" s="17">
        <v>1330</v>
      </c>
      <c r="AA108" s="17">
        <v>570</v>
      </c>
      <c r="AB108" s="17"/>
      <c r="AC108" s="17"/>
      <c r="AD108" s="17"/>
      <c r="AE108" s="19"/>
    </row>
    <row r="109" ht="20.2" customHeight="1">
      <c r="A109" t="s" s="14">
        <v>170</v>
      </c>
      <c r="B109" t="s" s="32">
        <v>37</v>
      </c>
      <c r="C109" t="s" s="21">
        <v>33</v>
      </c>
      <c r="D109" s="22"/>
      <c r="E109" s="22"/>
      <c r="F109" s="23">
        <v>12.2</v>
      </c>
      <c r="G109" s="22">
        <v>148</v>
      </c>
      <c r="H109" s="22">
        <v>110</v>
      </c>
      <c r="I109" s="22">
        <v>93</v>
      </c>
      <c r="J109" s="22">
        <v>7.9</v>
      </c>
      <c r="K109" s="22">
        <v>11</v>
      </c>
      <c r="L109" s="22">
        <v>6.2</v>
      </c>
      <c r="M109" s="22">
        <v>7.5</v>
      </c>
      <c r="N109" s="22">
        <v>8.5</v>
      </c>
      <c r="O109" s="22">
        <v>2.3</v>
      </c>
      <c r="P109" s="22">
        <v>4.2</v>
      </c>
      <c r="Q109" s="22"/>
      <c r="R109" s="22"/>
      <c r="S109" s="22">
        <v>103</v>
      </c>
      <c r="T109" s="22">
        <v>0.8</v>
      </c>
      <c r="U109" s="22">
        <v>171</v>
      </c>
      <c r="V109" s="22">
        <v>54</v>
      </c>
      <c r="W109" s="22">
        <v>0.8</v>
      </c>
      <c r="X109" s="22">
        <v>375</v>
      </c>
      <c r="Y109" s="22">
        <v>19000</v>
      </c>
      <c r="Z109" s="22">
        <v>1430</v>
      </c>
      <c r="AA109" s="22">
        <v>570</v>
      </c>
      <c r="AB109" s="22"/>
      <c r="AC109" s="22"/>
      <c r="AD109" s="22"/>
      <c r="AE109" s="24"/>
    </row>
    <row r="110" ht="20.2" customHeight="1">
      <c r="A110" t="s" s="41">
        <v>171</v>
      </c>
      <c r="B110" t="s" s="42">
        <v>37</v>
      </c>
      <c r="C110" t="s" s="43">
        <v>33</v>
      </c>
      <c r="D110" s="44"/>
      <c r="E110" s="44"/>
      <c r="F110" s="45">
        <v>11.2</v>
      </c>
      <c r="G110" s="44">
        <v>155</v>
      </c>
      <c r="H110" s="44">
        <v>167</v>
      </c>
      <c r="I110" s="44">
        <v>102</v>
      </c>
      <c r="J110" s="44">
        <v>6.6</v>
      </c>
      <c r="K110" s="44">
        <v>6.4</v>
      </c>
      <c r="L110" s="44">
        <v>3.7</v>
      </c>
      <c r="M110" s="44">
        <v>3.1</v>
      </c>
      <c r="N110" s="44">
        <v>8.5</v>
      </c>
      <c r="O110" s="44">
        <v>2.4</v>
      </c>
      <c r="P110" s="44">
        <v>3.8</v>
      </c>
      <c r="Q110" s="44"/>
      <c r="R110" s="44">
        <v>0.2</v>
      </c>
      <c r="S110" s="44">
        <v>8.1</v>
      </c>
      <c r="T110" s="44"/>
      <c r="U110" s="44">
        <v>182</v>
      </c>
      <c r="V110" s="44">
        <v>26.4</v>
      </c>
      <c r="W110" s="44">
        <v>0.07000000000000001</v>
      </c>
      <c r="X110" s="44">
        <v>37.8</v>
      </c>
      <c r="Y110" s="44"/>
      <c r="Z110" s="44"/>
      <c r="AA110" s="44"/>
      <c r="AB110" s="44"/>
      <c r="AC110" s="44"/>
      <c r="AD110" s="44"/>
      <c r="AE110" s="46"/>
    </row>
    <row r="111" ht="20.2" customHeight="1">
      <c r="A111" t="s" s="14">
        <v>172</v>
      </c>
      <c r="B111" t="s" s="32">
        <v>173</v>
      </c>
      <c r="C111" t="s" s="21">
        <v>33</v>
      </c>
      <c r="D111" s="22"/>
      <c r="E111" s="22"/>
      <c r="F111" s="23">
        <v>11.9</v>
      </c>
      <c r="G111" s="22">
        <v>91.5</v>
      </c>
      <c r="H111" s="22">
        <v>76</v>
      </c>
      <c r="I111" s="22">
        <v>50</v>
      </c>
      <c r="J111" s="22"/>
      <c r="K111" s="22">
        <v>8</v>
      </c>
      <c r="L111" s="22">
        <v>4</v>
      </c>
      <c r="M111" s="22">
        <v>2</v>
      </c>
      <c r="N111" s="22"/>
      <c r="O111" s="22">
        <v>3.5</v>
      </c>
      <c r="P111" s="22"/>
      <c r="Q111" s="22"/>
      <c r="R111" s="22"/>
      <c r="S111" s="22">
        <v>29.4</v>
      </c>
      <c r="T111" s="22">
        <v>1</v>
      </c>
      <c r="U111" s="22">
        <v>98</v>
      </c>
      <c r="V111" s="22">
        <v>59</v>
      </c>
      <c r="W111" s="22">
        <v>0.6</v>
      </c>
      <c r="X111" s="22">
        <v>117.6</v>
      </c>
      <c r="Y111" s="22">
        <v>19500</v>
      </c>
      <c r="Z111" s="22">
        <v>2100</v>
      </c>
      <c r="AA111" s="22">
        <v>370</v>
      </c>
      <c r="AB111" s="22">
        <v>6</v>
      </c>
      <c r="AC111" s="22">
        <v>6</v>
      </c>
      <c r="AD111" s="22">
        <v>2.6</v>
      </c>
      <c r="AE111" s="24"/>
    </row>
    <row r="112" ht="20.2" customHeight="1">
      <c r="A112" t="s" s="14">
        <v>174</v>
      </c>
      <c r="B112" t="s" s="25">
        <v>175</v>
      </c>
      <c r="C112" t="s" s="16">
        <v>33</v>
      </c>
      <c r="D112" s="17"/>
      <c r="E112" s="17"/>
      <c r="F112" s="18">
        <v>11.5</v>
      </c>
      <c r="G112" s="17">
        <v>120</v>
      </c>
      <c r="H112" s="17">
        <v>190</v>
      </c>
      <c r="I112" s="17">
        <v>52</v>
      </c>
      <c r="J112" s="17"/>
      <c r="K112" s="17">
        <v>11</v>
      </c>
      <c r="L112" s="17">
        <v>4</v>
      </c>
      <c r="M112" s="17">
        <v>5</v>
      </c>
      <c r="N112" s="17">
        <v>14</v>
      </c>
      <c r="O112" s="17">
        <v>5</v>
      </c>
      <c r="P112" s="17"/>
      <c r="Q112" s="17"/>
      <c r="R112" s="17">
        <v>0.5</v>
      </c>
      <c r="S112" s="17">
        <v>40</v>
      </c>
      <c r="T112" s="17">
        <v>0.5</v>
      </c>
      <c r="U112" s="17">
        <v>90</v>
      </c>
      <c r="V112" s="17">
        <v>80</v>
      </c>
      <c r="W112" s="17">
        <v>0.45</v>
      </c>
      <c r="X112" s="17">
        <v>160</v>
      </c>
      <c r="Y112" s="17">
        <v>12500</v>
      </c>
      <c r="Z112" s="17">
        <v>2200</v>
      </c>
      <c r="AA112" s="17">
        <v>200</v>
      </c>
      <c r="AB112" s="17">
        <v>15</v>
      </c>
      <c r="AC112" s="17">
        <v>15</v>
      </c>
      <c r="AD112" s="17">
        <v>3</v>
      </c>
      <c r="AE112" s="19"/>
    </row>
    <row r="113" ht="20.2" customHeight="1">
      <c r="A113" t="s" s="14">
        <v>176</v>
      </c>
      <c r="B113" t="s" s="32">
        <v>175</v>
      </c>
      <c r="C113" t="s" s="21">
        <v>33</v>
      </c>
      <c r="D113" s="22"/>
      <c r="E113" s="22"/>
      <c r="F113" s="23">
        <v>10.6</v>
      </c>
      <c r="G113" s="22">
        <v>170</v>
      </c>
      <c r="H113" s="22">
        <v>90</v>
      </c>
      <c r="I113" s="22">
        <v>50</v>
      </c>
      <c r="J113" s="22">
        <v>8</v>
      </c>
      <c r="K113" s="22">
        <v>10</v>
      </c>
      <c r="L113" s="22">
        <v>7</v>
      </c>
      <c r="M113" s="22">
        <v>6</v>
      </c>
      <c r="N113" s="22">
        <v>12</v>
      </c>
      <c r="O113" s="22">
        <v>3</v>
      </c>
      <c r="P113" s="22"/>
      <c r="Q113" s="22"/>
      <c r="R113" s="22">
        <v>0.5</v>
      </c>
      <c r="S113" s="22">
        <v>60</v>
      </c>
      <c r="T113" s="22">
        <v>0.9</v>
      </c>
      <c r="U113" s="22">
        <v>190</v>
      </c>
      <c r="V113" s="22">
        <v>180</v>
      </c>
      <c r="W113" s="22">
        <v>0.5</v>
      </c>
      <c r="X113" s="22">
        <v>250</v>
      </c>
      <c r="Y113" s="22">
        <v>25000</v>
      </c>
      <c r="Z113" s="22">
        <v>3300</v>
      </c>
      <c r="AA113" s="22">
        <v>300</v>
      </c>
      <c r="AB113" s="22">
        <v>25</v>
      </c>
      <c r="AC113" s="22">
        <v>30</v>
      </c>
      <c r="AD113" s="22">
        <v>8</v>
      </c>
      <c r="AE113" s="24"/>
    </row>
    <row r="114" ht="20.2" customHeight="1">
      <c r="A114" t="s" s="14">
        <v>177</v>
      </c>
      <c r="B114" t="s" s="25">
        <v>175</v>
      </c>
      <c r="C114" t="s" s="16">
        <v>33</v>
      </c>
      <c r="D114" s="17"/>
      <c r="E114" s="17"/>
      <c r="F114" s="18">
        <v>11</v>
      </c>
      <c r="G114" s="17">
        <v>150</v>
      </c>
      <c r="H114" s="17">
        <v>100</v>
      </c>
      <c r="I114" s="17">
        <v>35</v>
      </c>
      <c r="J114" s="17">
        <v>6.5</v>
      </c>
      <c r="K114" s="17">
        <v>9</v>
      </c>
      <c r="L114" s="17">
        <v>4</v>
      </c>
      <c r="M114" s="17">
        <v>5</v>
      </c>
      <c r="N114" s="17">
        <v>12</v>
      </c>
      <c r="O114" s="17">
        <v>5</v>
      </c>
      <c r="P114" s="17"/>
      <c r="Q114" s="17"/>
      <c r="R114" s="17">
        <v>0.5</v>
      </c>
      <c r="S114" s="17">
        <v>55</v>
      </c>
      <c r="T114" s="17">
        <v>0.9</v>
      </c>
      <c r="U114" s="17">
        <v>100</v>
      </c>
      <c r="V114" s="17">
        <v>110</v>
      </c>
      <c r="W114" s="17">
        <v>0.4</v>
      </c>
      <c r="X114" s="17">
        <v>160</v>
      </c>
      <c r="Y114" s="17">
        <v>15000</v>
      </c>
      <c r="Z114" s="17">
        <v>2200</v>
      </c>
      <c r="AA114" s="17">
        <v>300</v>
      </c>
      <c r="AB114" s="17">
        <v>15</v>
      </c>
      <c r="AC114" s="17">
        <v>15</v>
      </c>
      <c r="AD114" s="17">
        <v>4</v>
      </c>
      <c r="AE114" s="19"/>
    </row>
    <row r="115" ht="20.2" customHeight="1">
      <c r="A115" t="s" s="14">
        <v>178</v>
      </c>
      <c r="B115" t="s" s="32">
        <v>175</v>
      </c>
      <c r="C115" t="s" s="21">
        <v>33</v>
      </c>
      <c r="D115" s="22"/>
      <c r="E115" s="22"/>
      <c r="F115" s="23">
        <v>13.4</v>
      </c>
      <c r="G115" s="22">
        <v>160</v>
      </c>
      <c r="H115" s="22">
        <v>90</v>
      </c>
      <c r="I115" s="22">
        <v>40</v>
      </c>
      <c r="J115" s="22">
        <v>7</v>
      </c>
      <c r="K115" s="22">
        <v>12</v>
      </c>
      <c r="L115" s="22">
        <v>6</v>
      </c>
      <c r="M115" s="22">
        <v>6</v>
      </c>
      <c r="N115" s="22">
        <v>12</v>
      </c>
      <c r="O115" s="22">
        <v>3</v>
      </c>
      <c r="P115" s="22"/>
      <c r="Q115" s="22"/>
      <c r="R115" s="22">
        <v>0.7</v>
      </c>
      <c r="S115" s="22">
        <v>60</v>
      </c>
      <c r="T115" s="22">
        <v>0.9</v>
      </c>
      <c r="U115" s="22">
        <v>190</v>
      </c>
      <c r="V115" s="22">
        <v>180</v>
      </c>
      <c r="W115" s="22">
        <v>0.5</v>
      </c>
      <c r="X115" s="22">
        <v>250</v>
      </c>
      <c r="Y115" s="22">
        <v>25000</v>
      </c>
      <c r="Z115" s="22">
        <v>3000</v>
      </c>
      <c r="AA115" s="22">
        <v>300</v>
      </c>
      <c r="AB115" s="22">
        <v>25</v>
      </c>
      <c r="AC115" s="22">
        <v>30</v>
      </c>
      <c r="AD115" s="22">
        <v>8</v>
      </c>
      <c r="AE115" s="24"/>
    </row>
    <row r="116" ht="20.2" customHeight="1">
      <c r="A116" t="s" s="14">
        <v>179</v>
      </c>
      <c r="B116" t="s" s="25">
        <v>80</v>
      </c>
      <c r="C116" t="s" s="16">
        <v>33</v>
      </c>
      <c r="D116" s="17"/>
      <c r="E116" s="17"/>
      <c r="F116" s="18">
        <v>10.4</v>
      </c>
      <c r="G116" s="17">
        <v>100</v>
      </c>
      <c r="H116" s="17">
        <v>120</v>
      </c>
      <c r="I116" s="17">
        <v>50</v>
      </c>
      <c r="J116" s="17">
        <v>5</v>
      </c>
      <c r="K116" s="17">
        <v>8</v>
      </c>
      <c r="L116" s="17">
        <v>3</v>
      </c>
      <c r="M116" s="17">
        <v>2</v>
      </c>
      <c r="N116" s="17"/>
      <c r="O116" s="17">
        <v>3</v>
      </c>
      <c r="P116" s="17"/>
      <c r="Q116" s="17"/>
      <c r="R116" s="17">
        <v>1</v>
      </c>
      <c r="S116" s="17">
        <v>31</v>
      </c>
      <c r="T116" s="17">
        <v>0.5</v>
      </c>
      <c r="U116" s="17">
        <v>256</v>
      </c>
      <c r="V116" s="17">
        <v>183</v>
      </c>
      <c r="W116" s="17">
        <v>0.6</v>
      </c>
      <c r="X116" s="17">
        <v>227</v>
      </c>
      <c r="Y116" s="17">
        <v>13000</v>
      </c>
      <c r="Z116" s="17">
        <v>1400</v>
      </c>
      <c r="AA116" s="17">
        <v>130</v>
      </c>
      <c r="AB116" s="17">
        <v>10</v>
      </c>
      <c r="AC116" s="17">
        <v>10</v>
      </c>
      <c r="AD116" s="17"/>
      <c r="AE116" s="19"/>
    </row>
    <row r="117" ht="20.2" customHeight="1">
      <c r="A117" t="s" s="14">
        <v>180</v>
      </c>
      <c r="B117" t="s" s="32">
        <v>80</v>
      </c>
      <c r="C117" t="s" s="21">
        <v>33</v>
      </c>
      <c r="D117" s="22"/>
      <c r="E117" s="22"/>
      <c r="F117" s="23">
        <v>10</v>
      </c>
      <c r="G117" s="22">
        <v>96</v>
      </c>
      <c r="H117" s="22">
        <v>180</v>
      </c>
      <c r="I117" s="22">
        <v>94</v>
      </c>
      <c r="J117" s="22">
        <v>6</v>
      </c>
      <c r="K117" s="22">
        <v>13</v>
      </c>
      <c r="L117" s="22">
        <v>4</v>
      </c>
      <c r="M117" s="22">
        <v>6</v>
      </c>
      <c r="N117" s="22"/>
      <c r="O117" s="22">
        <v>6</v>
      </c>
      <c r="P117" s="22"/>
      <c r="Q117" s="22"/>
      <c r="R117" s="22">
        <v>3</v>
      </c>
      <c r="S117" s="22">
        <v>64</v>
      </c>
      <c r="T117" s="22">
        <v>1</v>
      </c>
      <c r="U117" s="22">
        <v>57</v>
      </c>
      <c r="V117" s="22">
        <v>299</v>
      </c>
      <c r="W117" s="22">
        <v>0.7</v>
      </c>
      <c r="X117" s="22">
        <v>370</v>
      </c>
      <c r="Y117" s="22">
        <v>15000</v>
      </c>
      <c r="Z117" s="22">
        <v>1670</v>
      </c>
      <c r="AA117" s="22">
        <v>570</v>
      </c>
      <c r="AB117" s="22">
        <v>43</v>
      </c>
      <c r="AC117" s="22">
        <v>70</v>
      </c>
      <c r="AD117" s="22"/>
      <c r="AE117" s="24"/>
    </row>
    <row r="118" ht="20.2" customHeight="1">
      <c r="A118" t="s" s="14">
        <v>181</v>
      </c>
      <c r="B118" t="s" s="25">
        <v>80</v>
      </c>
      <c r="C118" t="s" s="16">
        <v>33</v>
      </c>
      <c r="D118" s="17"/>
      <c r="E118" s="17"/>
      <c r="F118" s="18">
        <v>13.4</v>
      </c>
      <c r="G118" s="17">
        <v>100</v>
      </c>
      <c r="H118" s="17">
        <v>115</v>
      </c>
      <c r="I118" s="17">
        <v>85</v>
      </c>
      <c r="J118" s="17">
        <v>5</v>
      </c>
      <c r="K118" s="17">
        <v>14</v>
      </c>
      <c r="L118" s="17">
        <v>5</v>
      </c>
      <c r="M118" s="17">
        <v>5</v>
      </c>
      <c r="N118" s="17"/>
      <c r="O118" s="17">
        <v>3</v>
      </c>
      <c r="P118" s="17"/>
      <c r="Q118" s="17"/>
      <c r="R118" s="17">
        <v>3.6</v>
      </c>
      <c r="S118" s="17">
        <v>55</v>
      </c>
      <c r="T118" s="17">
        <v>0.97</v>
      </c>
      <c r="U118" s="17">
        <v>40</v>
      </c>
      <c r="V118" s="17">
        <v>225</v>
      </c>
      <c r="W118" s="17">
        <v>0.7</v>
      </c>
      <c r="X118" s="17">
        <v>310</v>
      </c>
      <c r="Y118" s="17">
        <v>23000</v>
      </c>
      <c r="Z118" s="17">
        <v>2500</v>
      </c>
      <c r="AA118" s="17">
        <v>400</v>
      </c>
      <c r="AB118" s="17">
        <v>13</v>
      </c>
      <c r="AC118" s="17">
        <v>14</v>
      </c>
      <c r="AD118" s="17"/>
      <c r="AE118" s="19"/>
    </row>
    <row r="119" ht="20.2" customHeight="1">
      <c r="A119" t="s" s="14">
        <v>182</v>
      </c>
      <c r="B119" t="s" s="32">
        <v>183</v>
      </c>
      <c r="C119" t="s" s="21">
        <v>33</v>
      </c>
      <c r="D119" s="22"/>
      <c r="E119" s="22"/>
      <c r="F119" s="23"/>
      <c r="G119" s="22">
        <v>180</v>
      </c>
      <c r="H119" s="22">
        <v>110</v>
      </c>
      <c r="I119" s="22">
        <v>45</v>
      </c>
      <c r="J119" s="22">
        <v>7.7</v>
      </c>
      <c r="K119" s="22">
        <v>24</v>
      </c>
      <c r="L119" s="22">
        <v>7</v>
      </c>
      <c r="M119" s="22">
        <v>9</v>
      </c>
      <c r="N119" s="22">
        <v>11</v>
      </c>
      <c r="O119" s="22">
        <v>13</v>
      </c>
      <c r="P119" s="22"/>
      <c r="Q119" s="22"/>
      <c r="R119" s="22">
        <v>1.1</v>
      </c>
      <c r="S119" s="22">
        <v>75</v>
      </c>
      <c r="T119" s="22">
        <v>1.8</v>
      </c>
      <c r="U119" s="22">
        <v>150</v>
      </c>
      <c r="V119" s="22">
        <v>143</v>
      </c>
      <c r="W119" s="22">
        <v>1</v>
      </c>
      <c r="X119" s="22">
        <v>300</v>
      </c>
      <c r="Y119" s="22">
        <v>45000</v>
      </c>
      <c r="Z119" s="22">
        <v>5600</v>
      </c>
      <c r="AA119" s="22">
        <v>800</v>
      </c>
      <c r="AB119" s="22"/>
      <c r="AC119" s="22"/>
      <c r="AD119" s="22"/>
      <c r="AE119" s="24"/>
    </row>
    <row r="120" ht="20.2" customHeight="1">
      <c r="A120" t="s" s="14">
        <v>184</v>
      </c>
      <c r="B120" t="s" s="25">
        <v>158</v>
      </c>
      <c r="C120" t="s" s="16">
        <v>33</v>
      </c>
      <c r="D120" s="17"/>
      <c r="E120" s="17"/>
      <c r="F120" s="18">
        <v>8.300000000000001</v>
      </c>
      <c r="G120" s="17">
        <v>109</v>
      </c>
      <c r="H120" s="17">
        <v>249</v>
      </c>
      <c r="I120" s="17">
        <v>68</v>
      </c>
      <c r="J120" s="17"/>
      <c r="K120" s="17">
        <v>12</v>
      </c>
      <c r="L120" s="17">
        <v>5</v>
      </c>
      <c r="M120" s="17">
        <v>4</v>
      </c>
      <c r="N120" s="17"/>
      <c r="O120" s="17">
        <v>4</v>
      </c>
      <c r="P120" s="17"/>
      <c r="Q120" s="17"/>
      <c r="R120" s="17">
        <v>0.5</v>
      </c>
      <c r="S120" s="17">
        <v>15</v>
      </c>
      <c r="T120" s="17">
        <v>1.5</v>
      </c>
      <c r="U120" s="17">
        <v>25</v>
      </c>
      <c r="V120" s="17">
        <v>60</v>
      </c>
      <c r="W120" s="17">
        <v>0.2</v>
      </c>
      <c r="X120" s="17">
        <v>45</v>
      </c>
      <c r="Y120" s="17">
        <v>10000</v>
      </c>
      <c r="Z120" s="17">
        <v>1500</v>
      </c>
      <c r="AA120" s="17">
        <v>350</v>
      </c>
      <c r="AB120" s="17"/>
      <c r="AC120" s="17">
        <v>5</v>
      </c>
      <c r="AD120" s="17"/>
      <c r="AE120" s="19"/>
    </row>
    <row r="121" ht="20.2" customHeight="1">
      <c r="A121" t="s" s="14">
        <v>185</v>
      </c>
      <c r="B121" t="s" s="32">
        <v>37</v>
      </c>
      <c r="C121" t="s" s="21">
        <v>33</v>
      </c>
      <c r="D121" s="22"/>
      <c r="E121" s="22"/>
      <c r="F121" s="23">
        <v>13</v>
      </c>
      <c r="G121" s="22">
        <v>145</v>
      </c>
      <c r="H121" s="22">
        <v>178</v>
      </c>
      <c r="I121" s="22">
        <v>192</v>
      </c>
      <c r="J121" s="22">
        <v>5.9</v>
      </c>
      <c r="K121" s="22">
        <v>6.6</v>
      </c>
      <c r="L121" s="22">
        <v>3.7</v>
      </c>
      <c r="M121" s="22">
        <v>2.3</v>
      </c>
      <c r="N121" s="22">
        <v>9.6</v>
      </c>
      <c r="O121" s="22">
        <v>2.2</v>
      </c>
      <c r="P121" s="22">
        <v>4.2</v>
      </c>
      <c r="Q121" s="22">
        <v>1.8</v>
      </c>
      <c r="R121" s="22">
        <v>0.1</v>
      </c>
      <c r="S121" s="22">
        <v>12</v>
      </c>
      <c r="T121" s="22"/>
      <c r="U121" s="22">
        <v>143</v>
      </c>
      <c r="V121" s="22">
        <v>39</v>
      </c>
      <c r="W121" s="22">
        <v>0.1</v>
      </c>
      <c r="X121" s="22">
        <v>38</v>
      </c>
      <c r="Y121" s="22"/>
      <c r="Z121" s="22"/>
      <c r="AA121" s="22"/>
      <c r="AB121" s="22"/>
      <c r="AC121" s="22"/>
      <c r="AD121" s="22"/>
      <c r="AE121" s="24"/>
    </row>
    <row r="122" ht="20.2" customHeight="1">
      <c r="A122" t="s" s="14">
        <v>186</v>
      </c>
      <c r="B122" t="s" s="25">
        <v>187</v>
      </c>
      <c r="C122" t="s" s="16">
        <v>188</v>
      </c>
      <c r="D122" s="17"/>
      <c r="E122" s="17"/>
      <c r="F122" s="18"/>
      <c r="G122" s="17">
        <v>88</v>
      </c>
      <c r="H122" s="17">
        <v>23</v>
      </c>
      <c r="I122" s="17">
        <v>38</v>
      </c>
      <c r="J122" s="17"/>
      <c r="K122" s="17">
        <v>19</v>
      </c>
      <c r="L122" s="17">
        <v>10</v>
      </c>
      <c r="M122" s="17">
        <v>6</v>
      </c>
      <c r="N122" s="17"/>
      <c r="O122" s="17">
        <v>4</v>
      </c>
      <c r="P122" s="17"/>
      <c r="Q122" s="17"/>
      <c r="R122" s="17"/>
      <c r="S122" s="17">
        <v>300</v>
      </c>
      <c r="T122" s="17">
        <v>12.5</v>
      </c>
      <c r="U122" s="17">
        <v>663</v>
      </c>
      <c r="V122" s="17">
        <v>700</v>
      </c>
      <c r="W122" s="17">
        <v>9</v>
      </c>
      <c r="X122" s="17">
        <v>2500</v>
      </c>
      <c r="Y122" s="17">
        <v>100000</v>
      </c>
      <c r="Z122" s="17">
        <v>30000</v>
      </c>
      <c r="AA122" s="17">
        <v>2500</v>
      </c>
      <c r="AB122" s="17">
        <v>57</v>
      </c>
      <c r="AC122" s="17">
        <v>85</v>
      </c>
      <c r="AD122" s="17"/>
      <c r="AE122" s="19"/>
    </row>
    <row r="123" ht="20.2" customHeight="1">
      <c r="A123" t="s" s="14">
        <v>189</v>
      </c>
      <c r="B123" t="s" s="32">
        <v>187</v>
      </c>
      <c r="C123" t="s" s="21">
        <v>33</v>
      </c>
      <c r="D123" s="22"/>
      <c r="E123" s="22"/>
      <c r="F123" s="23">
        <v>12.6</v>
      </c>
      <c r="G123" s="22">
        <v>108</v>
      </c>
      <c r="H123" s="22">
        <v>46</v>
      </c>
      <c r="I123" s="22">
        <v>44</v>
      </c>
      <c r="J123" s="22"/>
      <c r="K123" s="22">
        <v>9</v>
      </c>
      <c r="L123" s="22">
        <v>4</v>
      </c>
      <c r="M123" s="22">
        <v>5</v>
      </c>
      <c r="N123" s="22"/>
      <c r="O123" s="22">
        <v>3</v>
      </c>
      <c r="P123" s="22"/>
      <c r="Q123" s="22"/>
      <c r="R123" s="22"/>
      <c r="S123" s="22">
        <v>6</v>
      </c>
      <c r="T123" s="22">
        <v>0.3</v>
      </c>
      <c r="U123" s="22">
        <v>50</v>
      </c>
      <c r="V123" s="22">
        <v>20</v>
      </c>
      <c r="W123" s="22">
        <v>0.1</v>
      </c>
      <c r="X123" s="22">
        <v>29</v>
      </c>
      <c r="Y123" s="22">
        <v>12500</v>
      </c>
      <c r="Z123" s="22">
        <v>1250</v>
      </c>
      <c r="AA123" s="22">
        <v>125</v>
      </c>
      <c r="AB123" s="22"/>
      <c r="AC123" s="22"/>
      <c r="AD123" s="22"/>
      <c r="AE123" s="24"/>
    </row>
    <row r="124" ht="32.2" customHeight="1">
      <c r="A124" t="s" s="14">
        <v>190</v>
      </c>
      <c r="B124" t="s" s="25">
        <v>191</v>
      </c>
      <c r="C124" t="s" s="16">
        <v>33</v>
      </c>
      <c r="D124" s="17"/>
      <c r="E124" s="17"/>
      <c r="F124" s="18"/>
      <c r="G124" s="17">
        <v>120</v>
      </c>
      <c r="H124" s="17">
        <v>100</v>
      </c>
      <c r="I124" s="17">
        <v>36.5</v>
      </c>
      <c r="J124" s="17"/>
      <c r="K124" s="17">
        <v>9.9</v>
      </c>
      <c r="L124" s="17">
        <v>12.9</v>
      </c>
      <c r="M124" s="17"/>
      <c r="N124" s="17"/>
      <c r="O124" s="17">
        <v>5.4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>
        <v>4900</v>
      </c>
      <c r="Z124" s="17">
        <v>500</v>
      </c>
      <c r="AA124" s="17">
        <v>135</v>
      </c>
      <c r="AB124" s="17"/>
      <c r="AC124" s="17"/>
      <c r="AD124" s="17"/>
      <c r="AE124" s="19"/>
    </row>
    <row r="125" ht="20.2" customHeight="1">
      <c r="A125" t="s" s="14">
        <v>192</v>
      </c>
      <c r="B125" t="s" s="32">
        <v>191</v>
      </c>
      <c r="C125" t="s" s="21">
        <v>33</v>
      </c>
      <c r="D125" s="22"/>
      <c r="E125" s="22"/>
      <c r="F125" s="23"/>
      <c r="G125" s="22">
        <v>115</v>
      </c>
      <c r="H125" s="22">
        <v>190</v>
      </c>
      <c r="I125" s="22">
        <v>30</v>
      </c>
      <c r="J125" s="22"/>
      <c r="K125" s="22">
        <v>13</v>
      </c>
      <c r="L125" s="22">
        <v>6</v>
      </c>
      <c r="M125" s="22"/>
      <c r="N125" s="22"/>
      <c r="O125" s="22">
        <v>12</v>
      </c>
      <c r="P125" s="22"/>
      <c r="Q125" s="22"/>
      <c r="R125" s="22">
        <v>0.11</v>
      </c>
      <c r="S125" s="22">
        <v>26.04</v>
      </c>
      <c r="T125" s="22">
        <v>0.71</v>
      </c>
      <c r="U125" s="22">
        <v>123.51</v>
      </c>
      <c r="V125" s="22">
        <v>69.64</v>
      </c>
      <c r="W125" s="22">
        <v>0.3</v>
      </c>
      <c r="X125" s="22">
        <v>98.20999999999999</v>
      </c>
      <c r="Y125" s="22">
        <v>12200</v>
      </c>
      <c r="Z125" s="22">
        <v>1339</v>
      </c>
      <c r="AA125" s="22">
        <v>247</v>
      </c>
      <c r="AB125" s="22">
        <v>10.1</v>
      </c>
      <c r="AC125" s="22"/>
      <c r="AD125" s="22"/>
      <c r="AE125" s="24"/>
    </row>
    <row r="126" ht="20.2" customHeight="1">
      <c r="A126" t="s" s="14">
        <v>193</v>
      </c>
      <c r="B126" t="s" s="25">
        <v>191</v>
      </c>
      <c r="C126" t="s" s="16">
        <v>33</v>
      </c>
      <c r="D126" s="17"/>
      <c r="E126" s="17"/>
      <c r="F126" s="18">
        <v>12.8</v>
      </c>
      <c r="G126" s="17">
        <v>127</v>
      </c>
      <c r="H126" s="17">
        <v>110</v>
      </c>
      <c r="I126" s="17">
        <v>85</v>
      </c>
      <c r="J126" s="17">
        <v>4.5</v>
      </c>
      <c r="K126" s="17">
        <v>9</v>
      </c>
      <c r="L126" s="17">
        <v>3</v>
      </c>
      <c r="M126" s="17">
        <v>2.5</v>
      </c>
      <c r="N126" s="17"/>
      <c r="O126" s="17">
        <v>12</v>
      </c>
      <c r="P126" s="17"/>
      <c r="Q126" s="17"/>
      <c r="R126" s="17">
        <v>1.12</v>
      </c>
      <c r="S126" s="17">
        <v>35</v>
      </c>
      <c r="T126" s="17">
        <v>1.2</v>
      </c>
      <c r="U126" s="17">
        <v>120</v>
      </c>
      <c r="V126" s="17">
        <v>130</v>
      </c>
      <c r="W126" s="17">
        <v>0.6</v>
      </c>
      <c r="X126" s="17">
        <v>240</v>
      </c>
      <c r="Y126" s="17">
        <v>17000</v>
      </c>
      <c r="Z126" s="17">
        <v>1350</v>
      </c>
      <c r="AA126" s="17">
        <v>300</v>
      </c>
      <c r="AB126" s="17">
        <v>10.12</v>
      </c>
      <c r="AC126" s="17">
        <v>13.1</v>
      </c>
      <c r="AD126" s="17"/>
      <c r="AE126" s="19"/>
    </row>
    <row r="127" ht="20.2" customHeight="1">
      <c r="A127" t="s" s="36">
        <v>194</v>
      </c>
      <c r="B127" t="s" s="32">
        <v>195</v>
      </c>
      <c r="C127" t="s" s="21">
        <v>33</v>
      </c>
      <c r="D127" s="22"/>
      <c r="E127" s="22"/>
      <c r="F127" s="23">
        <v>10.3</v>
      </c>
      <c r="G127" s="22">
        <v>121</v>
      </c>
      <c r="H127" s="22">
        <v>123</v>
      </c>
      <c r="I127" s="22">
        <v>31</v>
      </c>
      <c r="J127" s="22">
        <v>5.3</v>
      </c>
      <c r="K127" s="22">
        <v>13</v>
      </c>
      <c r="L127" s="22">
        <v>4.8</v>
      </c>
      <c r="M127" s="22"/>
      <c r="N127" s="22"/>
      <c r="O127" s="22">
        <v>3</v>
      </c>
      <c r="P127" s="22"/>
      <c r="Q127" s="22"/>
      <c r="R127" s="22"/>
      <c r="S127" s="22">
        <v>18</v>
      </c>
      <c r="T127" s="22">
        <v>0.8</v>
      </c>
      <c r="U127" s="22">
        <v>100</v>
      </c>
      <c r="V127" s="22">
        <v>40</v>
      </c>
      <c r="W127" s="22">
        <v>0.24</v>
      </c>
      <c r="X127" s="22">
        <v>80</v>
      </c>
      <c r="Y127" s="22">
        <v>9600</v>
      </c>
      <c r="Z127" s="22">
        <v>1600</v>
      </c>
      <c r="AA127" s="22">
        <v>48</v>
      </c>
      <c r="AB127" s="22"/>
      <c r="AC127" s="22"/>
      <c r="AD127" s="22"/>
      <c r="AE127" s="24"/>
    </row>
    <row r="128" ht="20.2" customHeight="1">
      <c r="A128" t="s" s="36">
        <v>196</v>
      </c>
      <c r="B128" t="s" s="25">
        <v>195</v>
      </c>
      <c r="C128" t="s" s="16">
        <v>33</v>
      </c>
      <c r="D128" s="17"/>
      <c r="E128" s="17"/>
      <c r="F128" s="18">
        <v>10.5</v>
      </c>
      <c r="G128" s="17">
        <v>120</v>
      </c>
      <c r="H128" s="17">
        <v>130</v>
      </c>
      <c r="I128" s="17">
        <v>47</v>
      </c>
      <c r="J128" s="17"/>
      <c r="K128" s="17">
        <v>15</v>
      </c>
      <c r="L128" s="17">
        <v>3.7</v>
      </c>
      <c r="M128" s="17"/>
      <c r="N128" s="17"/>
      <c r="O128" s="17">
        <v>3</v>
      </c>
      <c r="P128" s="17"/>
      <c r="Q128" s="17"/>
      <c r="R128" s="17"/>
      <c r="S128" s="17">
        <v>20</v>
      </c>
      <c r="T128" s="17">
        <v>0.5</v>
      </c>
      <c r="U128" s="17">
        <v>500</v>
      </c>
      <c r="V128" s="17">
        <v>40</v>
      </c>
      <c r="W128" s="17">
        <v>0.6</v>
      </c>
      <c r="X128" s="17">
        <v>60</v>
      </c>
      <c r="Y128" s="17">
        <v>220</v>
      </c>
      <c r="Z128" s="17">
        <v>700</v>
      </c>
      <c r="AA128" s="17">
        <v>95</v>
      </c>
      <c r="AB128" s="17">
        <v>3</v>
      </c>
      <c r="AC128" s="17">
        <v>5</v>
      </c>
      <c r="AD128" s="17"/>
      <c r="AE128" s="19"/>
    </row>
    <row r="129" ht="20.2" customHeight="1">
      <c r="A129" t="s" s="36">
        <v>197</v>
      </c>
      <c r="B129" t="s" s="32">
        <v>195</v>
      </c>
      <c r="C129" t="s" s="21">
        <v>33</v>
      </c>
      <c r="D129" s="22"/>
      <c r="E129" s="22"/>
      <c r="F129" s="23">
        <v>11.7</v>
      </c>
      <c r="G129" s="22">
        <v>134</v>
      </c>
      <c r="H129" s="22">
        <v>80</v>
      </c>
      <c r="I129" s="22">
        <v>48.5</v>
      </c>
      <c r="J129" s="22">
        <v>4.1</v>
      </c>
      <c r="K129" s="22">
        <v>9</v>
      </c>
      <c r="L129" s="22">
        <v>7</v>
      </c>
      <c r="M129" s="22"/>
      <c r="N129" s="22"/>
      <c r="O129" s="22">
        <v>3</v>
      </c>
      <c r="P129" s="22"/>
      <c r="Q129" s="22"/>
      <c r="R129" s="22"/>
      <c r="S129" s="22">
        <v>20</v>
      </c>
      <c r="T129" s="22">
        <v>0.8</v>
      </c>
      <c r="U129" s="22">
        <v>125</v>
      </c>
      <c r="V129" s="22">
        <v>52</v>
      </c>
      <c r="W129" s="22">
        <v>0.4</v>
      </c>
      <c r="X129" s="22">
        <v>120</v>
      </c>
      <c r="Y129" s="22">
        <v>10000</v>
      </c>
      <c r="Z129" s="22">
        <v>1500</v>
      </c>
      <c r="AA129" s="22">
        <v>180</v>
      </c>
      <c r="AB129" s="22"/>
      <c r="AC129" s="22"/>
      <c r="AD129" s="22"/>
      <c r="AE129" s="24"/>
    </row>
    <row r="130" ht="20.2" customHeight="1">
      <c r="A130" t="s" s="36">
        <v>198</v>
      </c>
      <c r="B130" t="s" s="25">
        <v>195</v>
      </c>
      <c r="C130" t="s" s="16">
        <v>33</v>
      </c>
      <c r="D130" s="17"/>
      <c r="E130" s="17"/>
      <c r="F130" s="18">
        <v>11</v>
      </c>
      <c r="G130" s="17">
        <v>160</v>
      </c>
      <c r="H130" s="17">
        <v>60</v>
      </c>
      <c r="I130" s="17">
        <v>60</v>
      </c>
      <c r="J130" s="17"/>
      <c r="K130" s="17">
        <v>6</v>
      </c>
      <c r="L130" s="17"/>
      <c r="M130" s="17"/>
      <c r="N130" s="17"/>
      <c r="O130" s="17">
        <v>3</v>
      </c>
      <c r="P130" s="17"/>
      <c r="Q130" s="17"/>
      <c r="R130" s="17"/>
      <c r="S130" s="17">
        <v>70</v>
      </c>
      <c r="T130" s="17">
        <v>2.1</v>
      </c>
      <c r="U130" s="17">
        <v>99.90000000000001</v>
      </c>
      <c r="V130" s="17">
        <v>96.62</v>
      </c>
      <c r="W130" s="17">
        <v>0.66</v>
      </c>
      <c r="X130" s="17">
        <v>300</v>
      </c>
      <c r="Y130" s="17">
        <v>21000</v>
      </c>
      <c r="Z130" s="17">
        <v>4000</v>
      </c>
      <c r="AA130" s="17">
        <v>400</v>
      </c>
      <c r="AB130" s="17">
        <v>3.55</v>
      </c>
      <c r="AC130" s="17">
        <v>4.13</v>
      </c>
      <c r="AD130" s="17"/>
      <c r="AE130" s="19"/>
    </row>
    <row r="131" ht="20.2" customHeight="1">
      <c r="A131" t="s" s="14">
        <v>199</v>
      </c>
      <c r="B131" t="s" s="32">
        <v>200</v>
      </c>
      <c r="C131" t="s" s="21">
        <v>33</v>
      </c>
      <c r="D131" s="22"/>
      <c r="E131" s="22"/>
      <c r="F131" s="23">
        <v>12.1</v>
      </c>
      <c r="G131" s="22">
        <v>89</v>
      </c>
      <c r="H131" s="22">
        <v>96</v>
      </c>
      <c r="I131" s="22">
        <v>73</v>
      </c>
      <c r="J131" s="22"/>
      <c r="K131" s="22">
        <v>12</v>
      </c>
      <c r="L131" s="22">
        <v>4.5</v>
      </c>
      <c r="M131" s="22"/>
      <c r="N131" s="22"/>
      <c r="O131" s="22">
        <v>3</v>
      </c>
      <c r="P131" s="22"/>
      <c r="Q131" s="22"/>
      <c r="R131" s="22"/>
      <c r="S131" s="22">
        <v>22</v>
      </c>
      <c r="T131" s="22"/>
      <c r="U131" s="22">
        <v>28</v>
      </c>
      <c r="V131" s="22">
        <v>85</v>
      </c>
      <c r="W131" s="22">
        <v>0.5</v>
      </c>
      <c r="X131" s="22">
        <v>135</v>
      </c>
      <c r="Y131" s="22">
        <v>16000</v>
      </c>
      <c r="Z131" s="22">
        <v>1600</v>
      </c>
      <c r="AA131" s="22">
        <v>460</v>
      </c>
      <c r="AB131" s="22"/>
      <c r="AC131" s="22"/>
      <c r="AD131" s="22"/>
      <c r="AE131" s="24"/>
    </row>
    <row r="132" ht="22.5" customHeight="1">
      <c r="A132" t="s" s="47">
        <v>201</v>
      </c>
      <c r="B132" t="s" s="25">
        <v>202</v>
      </c>
      <c r="C132" t="s" s="16">
        <v>33</v>
      </c>
      <c r="D132" s="17"/>
      <c r="E132" s="17"/>
      <c r="F132" s="18">
        <v>11</v>
      </c>
      <c r="G132" s="17">
        <v>140</v>
      </c>
      <c r="H132" s="17">
        <v>115</v>
      </c>
      <c r="I132" s="17">
        <v>48</v>
      </c>
      <c r="J132" s="17"/>
      <c r="K132" s="17">
        <v>13.5</v>
      </c>
      <c r="L132" s="17">
        <v>8</v>
      </c>
      <c r="M132" s="17">
        <v>2.5</v>
      </c>
      <c r="N132" s="17"/>
      <c r="O132" s="17">
        <v>1</v>
      </c>
      <c r="P132" s="17"/>
      <c r="Q132" s="17"/>
      <c r="R132" s="17">
        <v>0.2</v>
      </c>
      <c r="S132" s="17">
        <v>12</v>
      </c>
      <c r="T132" s="17">
        <v>0.83</v>
      </c>
      <c r="U132" s="17"/>
      <c r="V132" s="17"/>
      <c r="W132" s="17">
        <v>0.5</v>
      </c>
      <c r="X132" s="17">
        <v>90</v>
      </c>
      <c r="Y132" s="17">
        <v>10000</v>
      </c>
      <c r="Z132" s="17">
        <v>1600</v>
      </c>
      <c r="AA132" s="17">
        <v>50</v>
      </c>
      <c r="AB132" s="17">
        <v>0.2</v>
      </c>
      <c r="AC132" s="17">
        <v>0.3</v>
      </c>
      <c r="AD132" s="17"/>
      <c r="AE132" s="19"/>
    </row>
    <row r="133" ht="44.2" customHeight="1">
      <c r="A133" t="s" s="14">
        <v>203</v>
      </c>
      <c r="B133" t="s" s="32">
        <v>204</v>
      </c>
      <c r="C133" t="s" s="21">
        <v>33</v>
      </c>
      <c r="D133" s="22"/>
      <c r="E133" s="22"/>
      <c r="F133" s="23">
        <v>11.47</v>
      </c>
      <c r="G133" s="22">
        <v>121</v>
      </c>
      <c r="H133" s="22">
        <v>57.8</v>
      </c>
      <c r="I133" s="22">
        <v>31.7</v>
      </c>
      <c r="J133" s="22"/>
      <c r="K133" s="22">
        <v>16.1</v>
      </c>
      <c r="L133" s="22">
        <v>7.5</v>
      </c>
      <c r="M133" s="22">
        <v>3.9</v>
      </c>
      <c r="N133" s="22"/>
      <c r="O133" s="22">
        <v>6.3</v>
      </c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4"/>
    </row>
    <row r="134" ht="20.2" customHeight="1">
      <c r="A134" t="s" s="14">
        <v>205</v>
      </c>
      <c r="B134" t="s" s="25">
        <v>206</v>
      </c>
      <c r="C134" t="s" s="16">
        <v>33</v>
      </c>
      <c r="D134" s="17"/>
      <c r="E134" s="17"/>
      <c r="F134" s="18">
        <v>11.5</v>
      </c>
      <c r="G134" s="17">
        <v>150</v>
      </c>
      <c r="H134" s="17">
        <v>145</v>
      </c>
      <c r="I134" s="17">
        <v>90</v>
      </c>
      <c r="J134" s="17">
        <v>10</v>
      </c>
      <c r="K134" s="17">
        <v>14.5</v>
      </c>
      <c r="L134" s="17">
        <v>7</v>
      </c>
      <c r="M134" s="17">
        <v>2.6</v>
      </c>
      <c r="N134" s="17">
        <v>12</v>
      </c>
      <c r="O134" s="17">
        <v>7</v>
      </c>
      <c r="P134" s="17">
        <v>12.8</v>
      </c>
      <c r="Q134" s="17"/>
      <c r="R134" s="17"/>
      <c r="S134" s="17">
        <v>40</v>
      </c>
      <c r="T134" s="17"/>
      <c r="U134" s="17">
        <v>135</v>
      </c>
      <c r="V134" s="17">
        <v>45</v>
      </c>
      <c r="W134" s="17">
        <v>0.7</v>
      </c>
      <c r="X134" s="17">
        <v>110</v>
      </c>
      <c r="Y134" s="17">
        <v>18000</v>
      </c>
      <c r="Z134" s="17">
        <v>1800</v>
      </c>
      <c r="AA134" s="17">
        <v>450</v>
      </c>
      <c r="AB134" s="17"/>
      <c r="AC134" s="17"/>
      <c r="AD134" s="17"/>
      <c r="AE134" s="19"/>
    </row>
    <row r="135" ht="20.2" customHeight="1">
      <c r="A135" t="s" s="14">
        <v>207</v>
      </c>
      <c r="B135" t="s" s="32">
        <v>208</v>
      </c>
      <c r="C135" t="s" s="21">
        <v>33</v>
      </c>
      <c r="D135" s="22"/>
      <c r="E135" s="22"/>
      <c r="F135" s="23">
        <v>11.2</v>
      </c>
      <c r="G135" s="22">
        <v>117</v>
      </c>
      <c r="H135" s="22">
        <v>87</v>
      </c>
      <c r="I135" s="22">
        <v>35</v>
      </c>
      <c r="J135" s="22"/>
      <c r="K135" s="22">
        <v>13</v>
      </c>
      <c r="L135" s="22">
        <v>7</v>
      </c>
      <c r="M135" s="22"/>
      <c r="N135" s="22"/>
      <c r="O135" s="22">
        <v>10</v>
      </c>
      <c r="P135" s="22"/>
      <c r="Q135" s="22"/>
      <c r="R135" s="22">
        <v>1</v>
      </c>
      <c r="S135" s="22">
        <v>25</v>
      </c>
      <c r="T135" s="22">
        <v>0.95</v>
      </c>
      <c r="U135" s="22">
        <v>75</v>
      </c>
      <c r="V135" s="22">
        <v>37</v>
      </c>
      <c r="W135" s="22">
        <v>0.275</v>
      </c>
      <c r="X135" s="22">
        <v>125</v>
      </c>
      <c r="Y135" s="22">
        <v>12500</v>
      </c>
      <c r="Z135" s="22">
        <v>2150</v>
      </c>
      <c r="AA135" s="22">
        <v>300</v>
      </c>
      <c r="AB135" s="22">
        <v>10</v>
      </c>
      <c r="AC135" s="22">
        <v>15</v>
      </c>
      <c r="AD135" s="22">
        <v>5</v>
      </c>
      <c r="AE135" s="24"/>
    </row>
    <row r="136" ht="20.2" customHeight="1">
      <c r="A136" t="s" s="48">
        <v>209</v>
      </c>
      <c r="B136" t="s" s="25">
        <v>210</v>
      </c>
      <c r="C136" t="s" s="16">
        <v>33</v>
      </c>
      <c r="D136" s="17"/>
      <c r="E136" s="17"/>
      <c r="F136" s="18">
        <v>12.4</v>
      </c>
      <c r="G136" s="17">
        <v>100</v>
      </c>
      <c r="H136" s="49">
        <v>80</v>
      </c>
      <c r="I136" s="49">
        <v>30</v>
      </c>
      <c r="J136" s="49">
        <v>4</v>
      </c>
      <c r="K136" s="49">
        <v>10</v>
      </c>
      <c r="L136" s="49">
        <v>5.5</v>
      </c>
      <c r="M136" s="49">
        <v>2.9</v>
      </c>
      <c r="N136" s="49">
        <v>8.300000000000001</v>
      </c>
      <c r="O136" s="49">
        <v>3.1</v>
      </c>
      <c r="P136" s="49">
        <v>7.7</v>
      </c>
      <c r="Q136" s="17"/>
      <c r="R136" s="17"/>
      <c r="S136" s="49">
        <v>60</v>
      </c>
      <c r="T136" s="49">
        <v>1.5</v>
      </c>
      <c r="U136" s="49">
        <v>120</v>
      </c>
      <c r="V136" s="49">
        <v>100</v>
      </c>
      <c r="W136" s="49">
        <v>0.5</v>
      </c>
      <c r="X136" s="49">
        <v>180</v>
      </c>
      <c r="Y136" s="49">
        <v>15000</v>
      </c>
      <c r="Z136" s="49">
        <v>2000</v>
      </c>
      <c r="AA136" s="49">
        <v>300</v>
      </c>
      <c r="AB136" s="49"/>
      <c r="AC136" s="49"/>
      <c r="AD136" s="49"/>
      <c r="AE136" s="50"/>
    </row>
    <row r="137" ht="20.2" customHeight="1">
      <c r="A137" t="s" s="48">
        <v>211</v>
      </c>
      <c r="B137" t="s" s="32">
        <v>210</v>
      </c>
      <c r="C137" t="s" s="21">
        <v>33</v>
      </c>
      <c r="D137" s="22"/>
      <c r="E137" s="22"/>
      <c r="F137" s="23">
        <v>11.2</v>
      </c>
      <c r="G137" s="22">
        <v>100</v>
      </c>
      <c r="H137" s="51">
        <v>120</v>
      </c>
      <c r="I137" s="51">
        <v>33</v>
      </c>
      <c r="J137" s="51">
        <v>4.8</v>
      </c>
      <c r="K137" s="51">
        <v>10</v>
      </c>
      <c r="L137" s="51">
        <v>5</v>
      </c>
      <c r="M137" s="51">
        <v>3.3</v>
      </c>
      <c r="N137" s="51">
        <v>19.5</v>
      </c>
      <c r="O137" s="51">
        <v>3.7</v>
      </c>
      <c r="P137" s="51">
        <v>7.4</v>
      </c>
      <c r="Q137" s="22"/>
      <c r="R137" s="22"/>
      <c r="S137" s="51">
        <v>60</v>
      </c>
      <c r="T137" s="51">
        <v>1.5</v>
      </c>
      <c r="U137" s="51">
        <v>120</v>
      </c>
      <c r="V137" s="51">
        <v>100</v>
      </c>
      <c r="W137" s="51">
        <v>0.5</v>
      </c>
      <c r="X137" s="51">
        <v>180</v>
      </c>
      <c r="Y137" s="51">
        <v>15000</v>
      </c>
      <c r="Z137" s="51">
        <v>2000</v>
      </c>
      <c r="AA137" s="51">
        <v>300</v>
      </c>
      <c r="AB137" s="51"/>
      <c r="AC137" s="51"/>
      <c r="AD137" s="51"/>
      <c r="AE137" s="52"/>
    </row>
    <row r="138" ht="32.2" customHeight="1">
      <c r="A138" t="s" s="48">
        <v>212</v>
      </c>
      <c r="B138" t="s" s="25">
        <v>210</v>
      </c>
      <c r="C138" t="s" s="16">
        <v>33</v>
      </c>
      <c r="D138" s="17"/>
      <c r="E138" s="17"/>
      <c r="F138" s="18">
        <v>12</v>
      </c>
      <c r="G138" s="17">
        <v>140</v>
      </c>
      <c r="H138" s="49">
        <v>175</v>
      </c>
      <c r="I138" s="49">
        <v>78</v>
      </c>
      <c r="J138" s="49">
        <v>7.4</v>
      </c>
      <c r="K138" s="49">
        <v>11.5</v>
      </c>
      <c r="L138" s="49">
        <v>6</v>
      </c>
      <c r="M138" s="49">
        <v>3.6</v>
      </c>
      <c r="N138" s="49">
        <v>13.7</v>
      </c>
      <c r="O138" s="49">
        <v>3.2</v>
      </c>
      <c r="P138" s="49">
        <v>5.9</v>
      </c>
      <c r="Q138" s="17"/>
      <c r="R138" s="17"/>
      <c r="S138" s="49">
        <v>60</v>
      </c>
      <c r="T138" s="49">
        <v>1.5</v>
      </c>
      <c r="U138" s="49">
        <v>120</v>
      </c>
      <c r="V138" s="49">
        <v>100</v>
      </c>
      <c r="W138" s="49">
        <v>0.5</v>
      </c>
      <c r="X138" s="49">
        <v>180</v>
      </c>
      <c r="Y138" s="49">
        <v>15000</v>
      </c>
      <c r="Z138" s="49">
        <v>2000</v>
      </c>
      <c r="AA138" s="49">
        <v>300</v>
      </c>
      <c r="AB138" s="49"/>
      <c r="AC138" s="49"/>
      <c r="AD138" s="49"/>
      <c r="AE138" s="50"/>
    </row>
    <row r="139" ht="20.2" customHeight="1">
      <c r="A139" t="s" s="48">
        <v>213</v>
      </c>
      <c r="B139" t="s" s="32">
        <v>210</v>
      </c>
      <c r="C139" t="s" s="21">
        <v>33</v>
      </c>
      <c r="D139" s="22"/>
      <c r="E139" s="22"/>
      <c r="F139" s="23">
        <v>14.1</v>
      </c>
      <c r="G139" s="22">
        <v>140</v>
      </c>
      <c r="H139" s="51">
        <v>50</v>
      </c>
      <c r="I139" s="51">
        <v>80</v>
      </c>
      <c r="J139" s="51">
        <v>6.6</v>
      </c>
      <c r="K139" s="51">
        <v>12</v>
      </c>
      <c r="L139" s="51">
        <v>6</v>
      </c>
      <c r="M139" s="51">
        <v>2.7</v>
      </c>
      <c r="N139" s="51">
        <v>8</v>
      </c>
      <c r="O139" s="51">
        <v>2.5</v>
      </c>
      <c r="P139" s="51">
        <v>6</v>
      </c>
      <c r="Q139" s="22"/>
      <c r="R139" s="22"/>
      <c r="S139" s="51">
        <v>60</v>
      </c>
      <c r="T139" s="51">
        <v>1.5</v>
      </c>
      <c r="U139" s="51">
        <v>120</v>
      </c>
      <c r="V139" s="51">
        <v>100</v>
      </c>
      <c r="W139" s="51">
        <v>0.5</v>
      </c>
      <c r="X139" s="51">
        <v>180</v>
      </c>
      <c r="Y139" s="51">
        <v>15000</v>
      </c>
      <c r="Z139" s="51">
        <v>2000</v>
      </c>
      <c r="AA139" s="51">
        <v>300</v>
      </c>
      <c r="AB139" s="51"/>
      <c r="AC139" s="51"/>
      <c r="AD139" s="51"/>
      <c r="AE139" s="52"/>
    </row>
    <row r="140" ht="20.2" customHeight="1">
      <c r="A140" t="s" s="48">
        <v>214</v>
      </c>
      <c r="B140" t="s" s="25">
        <v>210</v>
      </c>
      <c r="C140" t="s" s="16">
        <v>33</v>
      </c>
      <c r="D140" s="17"/>
      <c r="E140" s="17"/>
      <c r="F140" s="18">
        <v>12</v>
      </c>
      <c r="G140" s="17">
        <v>120</v>
      </c>
      <c r="H140" s="49">
        <v>85</v>
      </c>
      <c r="I140" s="49">
        <v>45</v>
      </c>
      <c r="J140" s="49">
        <v>5.5</v>
      </c>
      <c r="K140" s="49">
        <v>11.5</v>
      </c>
      <c r="L140" s="49">
        <v>6</v>
      </c>
      <c r="M140" s="49">
        <v>3.6</v>
      </c>
      <c r="N140" s="49">
        <v>13.7</v>
      </c>
      <c r="O140" s="49">
        <v>3.2</v>
      </c>
      <c r="P140" s="49">
        <v>5.9</v>
      </c>
      <c r="Q140" s="17"/>
      <c r="R140" s="17"/>
      <c r="S140" s="49">
        <v>60</v>
      </c>
      <c r="T140" s="49">
        <v>1.5</v>
      </c>
      <c r="U140" s="49">
        <v>120</v>
      </c>
      <c r="V140" s="49">
        <v>100</v>
      </c>
      <c r="W140" s="49">
        <v>0.5</v>
      </c>
      <c r="X140" s="49">
        <v>180</v>
      </c>
      <c r="Y140" s="49">
        <v>15000</v>
      </c>
      <c r="Z140" s="49">
        <v>2000</v>
      </c>
      <c r="AA140" s="49">
        <v>300</v>
      </c>
      <c r="AB140" s="49"/>
      <c r="AC140" s="49"/>
      <c r="AD140" s="49"/>
      <c r="AE140" s="50"/>
    </row>
    <row r="141" ht="20.2" customHeight="1">
      <c r="A141" t="s" s="48">
        <v>215</v>
      </c>
      <c r="B141" t="s" s="32">
        <v>210</v>
      </c>
      <c r="C141" t="s" s="21">
        <v>33</v>
      </c>
      <c r="D141" s="22"/>
      <c r="E141" s="22"/>
      <c r="F141" s="23">
        <v>12.2</v>
      </c>
      <c r="G141" s="22">
        <v>140</v>
      </c>
      <c r="H141" s="51">
        <v>80</v>
      </c>
      <c r="I141" s="51">
        <v>50</v>
      </c>
      <c r="J141" s="51">
        <v>6.5</v>
      </c>
      <c r="K141" s="51">
        <v>14</v>
      </c>
      <c r="L141" s="51">
        <v>6</v>
      </c>
      <c r="M141" s="51">
        <v>3</v>
      </c>
      <c r="N141" s="51">
        <v>8.699999999999999</v>
      </c>
      <c r="O141" s="51">
        <v>2.7</v>
      </c>
      <c r="P141" s="51">
        <v>5.6</v>
      </c>
      <c r="Q141" s="53"/>
      <c r="R141" s="53"/>
      <c r="S141" s="51">
        <v>60</v>
      </c>
      <c r="T141" s="51">
        <v>1.5</v>
      </c>
      <c r="U141" s="51">
        <v>120</v>
      </c>
      <c r="V141" s="51">
        <v>100</v>
      </c>
      <c r="W141" s="51">
        <v>0.5</v>
      </c>
      <c r="X141" s="51">
        <v>180</v>
      </c>
      <c r="Y141" s="51">
        <v>15000</v>
      </c>
      <c r="Z141" s="51">
        <v>2000</v>
      </c>
      <c r="AA141" s="51">
        <v>300</v>
      </c>
      <c r="AB141" s="51"/>
      <c r="AC141" s="51"/>
      <c r="AD141" s="51"/>
      <c r="AE141" s="52"/>
    </row>
    <row r="142" ht="32.2" customHeight="1">
      <c r="A142" t="s" s="48">
        <v>216</v>
      </c>
      <c r="B142" t="s" s="25">
        <v>210</v>
      </c>
      <c r="C142" t="s" s="16">
        <v>33</v>
      </c>
      <c r="D142" s="17"/>
      <c r="E142" s="17"/>
      <c r="F142" s="18">
        <v>12.5</v>
      </c>
      <c r="G142" s="17">
        <v>140</v>
      </c>
      <c r="H142" s="49">
        <v>80</v>
      </c>
      <c r="I142" s="49">
        <v>45</v>
      </c>
      <c r="J142" s="49">
        <v>7</v>
      </c>
      <c r="K142" s="49">
        <v>12.3</v>
      </c>
      <c r="L142" s="49">
        <v>6</v>
      </c>
      <c r="M142" s="49">
        <v>2.8</v>
      </c>
      <c r="N142" s="49">
        <v>8.1</v>
      </c>
      <c r="O142" s="49">
        <v>2.5</v>
      </c>
      <c r="P142" s="49">
        <v>5.8</v>
      </c>
      <c r="Q142" s="17"/>
      <c r="R142" s="17"/>
      <c r="S142" s="49">
        <v>60</v>
      </c>
      <c r="T142" s="49">
        <v>1.5</v>
      </c>
      <c r="U142" s="49">
        <v>120</v>
      </c>
      <c r="V142" s="49">
        <v>100</v>
      </c>
      <c r="W142" s="49">
        <v>0.5</v>
      </c>
      <c r="X142" s="49">
        <v>180</v>
      </c>
      <c r="Y142" s="49">
        <v>15000</v>
      </c>
      <c r="Z142" s="49">
        <v>2000</v>
      </c>
      <c r="AA142" s="49">
        <v>300</v>
      </c>
      <c r="AB142" s="49"/>
      <c r="AC142" s="49"/>
      <c r="AD142" s="49"/>
      <c r="AE142" s="50"/>
    </row>
    <row r="143" ht="20.2" customHeight="1">
      <c r="A143" t="s" s="48">
        <v>217</v>
      </c>
      <c r="B143" t="s" s="32">
        <v>210</v>
      </c>
      <c r="C143" t="s" s="21">
        <v>33</v>
      </c>
      <c r="D143" s="22"/>
      <c r="E143" s="22"/>
      <c r="F143" s="23">
        <v>12.8</v>
      </c>
      <c r="G143" s="22">
        <v>180</v>
      </c>
      <c r="H143" s="51">
        <v>70</v>
      </c>
      <c r="I143" s="51">
        <v>63</v>
      </c>
      <c r="J143" s="51">
        <v>9.699999999999999</v>
      </c>
      <c r="K143" s="51">
        <v>15</v>
      </c>
      <c r="L143" s="51">
        <v>6.5</v>
      </c>
      <c r="M143" s="51">
        <v>3.3</v>
      </c>
      <c r="N143" s="51">
        <v>10</v>
      </c>
      <c r="O143" s="51">
        <v>3.1</v>
      </c>
      <c r="P143" s="51">
        <v>6.8</v>
      </c>
      <c r="Q143" s="22"/>
      <c r="R143" s="22"/>
      <c r="S143" s="51">
        <v>84</v>
      </c>
      <c r="T143" s="51">
        <v>2.1</v>
      </c>
      <c r="U143" s="51">
        <v>168</v>
      </c>
      <c r="V143" s="51">
        <v>140</v>
      </c>
      <c r="W143" s="51">
        <v>0.7</v>
      </c>
      <c r="X143" s="51">
        <v>252</v>
      </c>
      <c r="Y143" s="51">
        <v>21000</v>
      </c>
      <c r="Z143" s="51">
        <v>2800</v>
      </c>
      <c r="AA143" s="51">
        <v>420</v>
      </c>
      <c r="AB143" s="51"/>
      <c r="AC143" s="51"/>
      <c r="AD143" s="51"/>
      <c r="AE143" s="52"/>
    </row>
    <row r="144" ht="20.2" customHeight="1">
      <c r="A144" t="s" s="48">
        <v>218</v>
      </c>
      <c r="B144" t="s" s="25">
        <v>210</v>
      </c>
      <c r="C144" t="s" s="16">
        <v>33</v>
      </c>
      <c r="D144" s="17"/>
      <c r="E144" s="17"/>
      <c r="F144" s="18">
        <v>13.3</v>
      </c>
      <c r="G144" s="17">
        <v>150</v>
      </c>
      <c r="H144" s="49">
        <v>85</v>
      </c>
      <c r="I144" s="49">
        <v>85</v>
      </c>
      <c r="J144" s="49">
        <v>7.8</v>
      </c>
      <c r="K144" s="49">
        <v>10</v>
      </c>
      <c r="L144" s="49">
        <v>6</v>
      </c>
      <c r="M144" s="49">
        <v>3</v>
      </c>
      <c r="N144" s="49">
        <v>8.9</v>
      </c>
      <c r="O144" s="49">
        <v>2.8</v>
      </c>
      <c r="P144" s="49">
        <v>6.9</v>
      </c>
      <c r="Q144" s="17"/>
      <c r="R144" s="17"/>
      <c r="S144" s="49">
        <v>72</v>
      </c>
      <c r="T144" s="49">
        <v>1.8</v>
      </c>
      <c r="U144" s="49">
        <v>144</v>
      </c>
      <c r="V144" s="49">
        <v>120</v>
      </c>
      <c r="W144" s="49">
        <v>0.6</v>
      </c>
      <c r="X144" s="49">
        <v>216</v>
      </c>
      <c r="Y144" s="49">
        <v>18000</v>
      </c>
      <c r="Z144" s="49">
        <v>2400</v>
      </c>
      <c r="AA144" s="49">
        <v>360</v>
      </c>
      <c r="AB144" s="49"/>
      <c r="AC144" s="49"/>
      <c r="AD144" s="49"/>
      <c r="AE144" s="50"/>
    </row>
    <row r="145" ht="20.2" customHeight="1">
      <c r="A145" t="s" s="48">
        <v>219</v>
      </c>
      <c r="B145" t="s" s="32">
        <v>210</v>
      </c>
      <c r="C145" t="s" s="21">
        <v>33</v>
      </c>
      <c r="D145" s="22"/>
      <c r="E145" s="22"/>
      <c r="F145" s="23">
        <v>12.1</v>
      </c>
      <c r="G145" s="22">
        <v>100</v>
      </c>
      <c r="H145" s="51">
        <v>130</v>
      </c>
      <c r="I145" s="51">
        <v>72</v>
      </c>
      <c r="J145" s="51">
        <v>5.2</v>
      </c>
      <c r="K145" s="51">
        <v>14</v>
      </c>
      <c r="L145" s="51">
        <v>7</v>
      </c>
      <c r="M145" s="51">
        <v>3</v>
      </c>
      <c r="N145" s="51">
        <v>11</v>
      </c>
      <c r="O145" s="51">
        <v>3.1</v>
      </c>
      <c r="P145" s="51">
        <v>7.2</v>
      </c>
      <c r="Q145" s="22"/>
      <c r="R145" s="22"/>
      <c r="S145" s="51">
        <v>48.75</v>
      </c>
      <c r="T145" s="51">
        <v>1.5</v>
      </c>
      <c r="U145" s="51">
        <v>150</v>
      </c>
      <c r="V145" s="51">
        <v>81.25</v>
      </c>
      <c r="W145" s="51">
        <v>0.5</v>
      </c>
      <c r="X145" s="51">
        <v>150</v>
      </c>
      <c r="Y145" s="51">
        <v>15000</v>
      </c>
      <c r="Z145" s="51">
        <v>2500</v>
      </c>
      <c r="AA145" s="51">
        <v>375</v>
      </c>
      <c r="AB145" s="51"/>
      <c r="AC145" s="51"/>
      <c r="AD145" s="51">
        <v>4.4</v>
      </c>
      <c r="AE145" s="52">
        <v>50</v>
      </c>
    </row>
    <row r="146" ht="20.2" customHeight="1">
      <c r="A146" t="s" s="48">
        <v>220</v>
      </c>
      <c r="B146" t="s" s="25">
        <v>210</v>
      </c>
      <c r="C146" t="s" s="16">
        <v>33</v>
      </c>
      <c r="D146" s="17"/>
      <c r="E146" s="17"/>
      <c r="F146" s="18">
        <v>11.6</v>
      </c>
      <c r="G146" s="17">
        <v>100</v>
      </c>
      <c r="H146" s="49">
        <v>130</v>
      </c>
      <c r="I146" s="49">
        <v>55</v>
      </c>
      <c r="J146" s="49">
        <v>5.3</v>
      </c>
      <c r="K146" s="49">
        <v>12</v>
      </c>
      <c r="L146" s="49">
        <v>6</v>
      </c>
      <c r="M146" s="49">
        <v>3.3</v>
      </c>
      <c r="N146" s="49">
        <v>11</v>
      </c>
      <c r="O146" s="49">
        <v>3.5</v>
      </c>
      <c r="P146" s="49">
        <v>6</v>
      </c>
      <c r="Q146" s="17"/>
      <c r="R146" s="17"/>
      <c r="S146" s="49">
        <v>48.75</v>
      </c>
      <c r="T146" s="49">
        <v>1.5</v>
      </c>
      <c r="U146" s="49">
        <v>150</v>
      </c>
      <c r="V146" s="49">
        <v>81.25</v>
      </c>
      <c r="W146" s="49">
        <v>0.5</v>
      </c>
      <c r="X146" s="49">
        <v>150</v>
      </c>
      <c r="Y146" s="49">
        <v>15000</v>
      </c>
      <c r="Z146" s="49">
        <v>2500</v>
      </c>
      <c r="AA146" s="49">
        <v>375</v>
      </c>
      <c r="AB146" s="49"/>
      <c r="AC146" s="49"/>
      <c r="AD146" s="49">
        <v>4.4</v>
      </c>
      <c r="AE146" s="50">
        <v>50</v>
      </c>
    </row>
    <row r="147" ht="20.2" customHeight="1">
      <c r="A147" t="s" s="48">
        <v>221</v>
      </c>
      <c r="B147" t="s" s="32">
        <v>210</v>
      </c>
      <c r="C147" t="s" s="21">
        <v>33</v>
      </c>
      <c r="D147" s="22"/>
      <c r="E147" s="22"/>
      <c r="F147" s="23">
        <v>12.8</v>
      </c>
      <c r="G147" s="22">
        <v>140</v>
      </c>
      <c r="H147" s="51">
        <v>120</v>
      </c>
      <c r="I147" s="51">
        <v>85</v>
      </c>
      <c r="J147" s="51">
        <v>8</v>
      </c>
      <c r="K147" s="51">
        <v>13.5</v>
      </c>
      <c r="L147" s="51">
        <v>6.8</v>
      </c>
      <c r="M147" s="51">
        <v>3</v>
      </c>
      <c r="N147" s="51">
        <v>9.9</v>
      </c>
      <c r="O147" s="51">
        <v>2.9</v>
      </c>
      <c r="P147" s="51">
        <v>6.9</v>
      </c>
      <c r="Q147" s="53"/>
      <c r="R147" s="53"/>
      <c r="S147" s="51">
        <v>48.75</v>
      </c>
      <c r="T147" s="51">
        <v>1.5</v>
      </c>
      <c r="U147" s="51">
        <v>150</v>
      </c>
      <c r="V147" s="51">
        <v>81.25</v>
      </c>
      <c r="W147" s="51">
        <v>0.5</v>
      </c>
      <c r="X147" s="51">
        <v>150</v>
      </c>
      <c r="Y147" s="51">
        <v>15000</v>
      </c>
      <c r="Z147" s="51">
        <v>2500</v>
      </c>
      <c r="AA147" s="51">
        <v>375</v>
      </c>
      <c r="AB147" s="51"/>
      <c r="AC147" s="51"/>
      <c r="AD147" s="51">
        <v>4.4</v>
      </c>
      <c r="AE147" s="52">
        <v>50</v>
      </c>
    </row>
    <row r="148" ht="20.2" customHeight="1">
      <c r="A148" t="s" s="48">
        <v>222</v>
      </c>
      <c r="B148" t="s" s="25">
        <v>210</v>
      </c>
      <c r="C148" t="s" s="16">
        <v>33</v>
      </c>
      <c r="D148" s="17"/>
      <c r="E148" s="17"/>
      <c r="F148" s="18">
        <v>11.8</v>
      </c>
      <c r="G148" s="17">
        <v>140</v>
      </c>
      <c r="H148" s="49">
        <v>140</v>
      </c>
      <c r="I148" s="49">
        <v>65</v>
      </c>
      <c r="J148" s="49">
        <v>7.3</v>
      </c>
      <c r="K148" s="49">
        <v>11.5</v>
      </c>
      <c r="L148" s="49">
        <v>6</v>
      </c>
      <c r="M148" s="49">
        <v>3.3</v>
      </c>
      <c r="N148" s="49">
        <v>11</v>
      </c>
      <c r="O148" s="49">
        <v>3.6</v>
      </c>
      <c r="P148" s="49">
        <v>6</v>
      </c>
      <c r="Q148" s="17"/>
      <c r="R148" s="17"/>
      <c r="S148" s="49">
        <v>48.75</v>
      </c>
      <c r="T148" s="49">
        <v>1.5</v>
      </c>
      <c r="U148" s="49">
        <v>150</v>
      </c>
      <c r="V148" s="49">
        <v>81.25</v>
      </c>
      <c r="W148" s="49">
        <v>0.5</v>
      </c>
      <c r="X148" s="49">
        <v>150</v>
      </c>
      <c r="Y148" s="49">
        <v>15000</v>
      </c>
      <c r="Z148" s="49">
        <v>2500</v>
      </c>
      <c r="AA148" s="49">
        <v>375</v>
      </c>
      <c r="AB148" s="49"/>
      <c r="AC148" s="49"/>
      <c r="AD148" s="49">
        <v>4.4</v>
      </c>
      <c r="AE148" s="50">
        <v>50</v>
      </c>
    </row>
    <row r="149" ht="32.2" customHeight="1">
      <c r="A149" t="s" s="48">
        <v>223</v>
      </c>
      <c r="B149" t="s" s="32">
        <v>210</v>
      </c>
      <c r="C149" t="s" s="21">
        <v>33</v>
      </c>
      <c r="D149" s="22"/>
      <c r="E149" s="22"/>
      <c r="F149" s="23">
        <v>12</v>
      </c>
      <c r="G149" s="22">
        <v>140</v>
      </c>
      <c r="H149" s="51">
        <v>180</v>
      </c>
      <c r="I149" s="51">
        <v>80</v>
      </c>
      <c r="J149" s="51">
        <v>7.5</v>
      </c>
      <c r="K149" s="51">
        <v>10.6</v>
      </c>
      <c r="L149" s="51">
        <v>6</v>
      </c>
      <c r="M149" s="51">
        <v>3.6</v>
      </c>
      <c r="N149" s="51">
        <v>13.8</v>
      </c>
      <c r="O149" s="51">
        <v>3.2</v>
      </c>
      <c r="P149" s="51">
        <v>5.9</v>
      </c>
      <c r="Q149" s="22"/>
      <c r="R149" s="22"/>
      <c r="S149" s="51">
        <v>48.75</v>
      </c>
      <c r="T149" s="51">
        <v>1.5</v>
      </c>
      <c r="U149" s="51">
        <v>150</v>
      </c>
      <c r="V149" s="51">
        <v>81.25</v>
      </c>
      <c r="W149" s="51">
        <v>0.5</v>
      </c>
      <c r="X149" s="51">
        <v>150</v>
      </c>
      <c r="Y149" s="51">
        <v>15000</v>
      </c>
      <c r="Z149" s="51">
        <v>2500</v>
      </c>
      <c r="AA149" s="51">
        <v>375</v>
      </c>
      <c r="AB149" s="51"/>
      <c r="AC149" s="51"/>
      <c r="AD149" s="51">
        <v>4.4</v>
      </c>
      <c r="AE149" s="52">
        <v>50</v>
      </c>
    </row>
    <row r="150" ht="20.2" customHeight="1">
      <c r="A150" t="s" s="48">
        <v>224</v>
      </c>
      <c r="B150" t="s" s="25">
        <v>210</v>
      </c>
      <c r="C150" t="s" s="16">
        <v>33</v>
      </c>
      <c r="D150" s="17"/>
      <c r="E150" s="17"/>
      <c r="F150" s="18">
        <v>13</v>
      </c>
      <c r="G150" s="17">
        <v>200</v>
      </c>
      <c r="H150" s="49">
        <v>85</v>
      </c>
      <c r="I150" s="49">
        <v>70</v>
      </c>
      <c r="J150" s="49">
        <v>11</v>
      </c>
      <c r="K150" s="49">
        <v>26</v>
      </c>
      <c r="L150" s="49">
        <v>10</v>
      </c>
      <c r="M150" s="49">
        <v>4.5</v>
      </c>
      <c r="N150" s="49">
        <v>11.6</v>
      </c>
      <c r="O150" s="49">
        <v>5.2</v>
      </c>
      <c r="P150" s="49">
        <v>10.2</v>
      </c>
      <c r="Q150" s="17"/>
      <c r="R150" s="17"/>
      <c r="S150" s="49">
        <v>150</v>
      </c>
      <c r="T150" s="49">
        <v>4</v>
      </c>
      <c r="U150" s="49">
        <v>300</v>
      </c>
      <c r="V150" s="49">
        <v>250</v>
      </c>
      <c r="W150" s="49">
        <v>1.25</v>
      </c>
      <c r="X150" s="49">
        <v>450</v>
      </c>
      <c r="Y150" s="49">
        <v>37500</v>
      </c>
      <c r="Z150" s="49">
        <v>5000</v>
      </c>
      <c r="AA150" s="49">
        <v>750</v>
      </c>
      <c r="AB150" s="49"/>
      <c r="AC150" s="49"/>
      <c r="AD150" s="49"/>
      <c r="AE150" s="50"/>
    </row>
    <row r="151" ht="20.2" customHeight="1">
      <c r="A151" t="s" s="48">
        <v>225</v>
      </c>
      <c r="B151" t="s" s="32">
        <v>210</v>
      </c>
      <c r="C151" t="s" s="21">
        <v>33</v>
      </c>
      <c r="D151" s="22"/>
      <c r="E151" s="22"/>
      <c r="F151" s="23">
        <v>11.8</v>
      </c>
      <c r="G151" s="22">
        <v>300</v>
      </c>
      <c r="H151" s="51">
        <v>80</v>
      </c>
      <c r="I151" s="51">
        <v>60</v>
      </c>
      <c r="J151" s="51">
        <v>21.6</v>
      </c>
      <c r="K151" s="51">
        <v>40</v>
      </c>
      <c r="L151" s="51">
        <v>16</v>
      </c>
      <c r="M151" s="51">
        <v>12</v>
      </c>
      <c r="N151" s="51">
        <v>15.2</v>
      </c>
      <c r="O151" s="51">
        <v>3.2</v>
      </c>
      <c r="P151" s="51">
        <v>6.9</v>
      </c>
      <c r="Q151" s="22"/>
      <c r="R151" s="22"/>
      <c r="S151" s="51">
        <v>195</v>
      </c>
      <c r="T151" s="51">
        <v>6</v>
      </c>
      <c r="U151" s="51">
        <v>600</v>
      </c>
      <c r="V151" s="51">
        <v>325</v>
      </c>
      <c r="W151" s="51">
        <v>2</v>
      </c>
      <c r="X151" s="51">
        <v>600</v>
      </c>
      <c r="Y151" s="51">
        <v>60000</v>
      </c>
      <c r="Z151" s="51">
        <v>10000</v>
      </c>
      <c r="AA151" s="51">
        <v>1500</v>
      </c>
      <c r="AB151" s="51"/>
      <c r="AC151" s="51"/>
      <c r="AD151" s="51">
        <v>17.6</v>
      </c>
      <c r="AE151" s="52">
        <v>200</v>
      </c>
    </row>
    <row r="152" ht="20.2" customHeight="1">
      <c r="A152" t="s" s="48">
        <v>226</v>
      </c>
      <c r="B152" t="s" s="25">
        <v>210</v>
      </c>
      <c r="C152" t="s" s="16">
        <v>33</v>
      </c>
      <c r="D152" s="17"/>
      <c r="E152" s="17"/>
      <c r="F152" s="18">
        <v>15.5</v>
      </c>
      <c r="G152" s="17">
        <v>190</v>
      </c>
      <c r="H152" s="49">
        <v>70</v>
      </c>
      <c r="I152" s="49">
        <v>180</v>
      </c>
      <c r="J152" s="49">
        <v>10.7</v>
      </c>
      <c r="K152" s="49">
        <v>3</v>
      </c>
      <c r="L152" s="49">
        <v>4</v>
      </c>
      <c r="M152" s="49">
        <v>2</v>
      </c>
      <c r="N152" s="49">
        <v>11.5</v>
      </c>
      <c r="O152" s="49">
        <v>4</v>
      </c>
      <c r="P152" s="49">
        <v>2</v>
      </c>
      <c r="Q152" s="17"/>
      <c r="R152" s="17"/>
      <c r="S152" s="49"/>
      <c r="T152" s="49"/>
      <c r="U152" s="49"/>
      <c r="V152" s="49"/>
      <c r="W152" s="49"/>
      <c r="X152" s="49"/>
      <c r="Y152" s="49"/>
      <c r="Z152" s="49"/>
      <c r="AA152" s="49">
        <v>750</v>
      </c>
      <c r="AB152" s="49"/>
      <c r="AC152" s="49"/>
      <c r="AD152" s="49"/>
      <c r="AE152" s="50"/>
    </row>
    <row r="153" ht="20.2" customHeight="1">
      <c r="A153" t="s" s="48">
        <v>227</v>
      </c>
      <c r="B153" t="s" s="32">
        <v>210</v>
      </c>
      <c r="C153" t="s" s="21">
        <v>33</v>
      </c>
      <c r="D153" s="22"/>
      <c r="E153" s="22"/>
      <c r="F153" s="23">
        <v>12</v>
      </c>
      <c r="G153" s="22">
        <v>140</v>
      </c>
      <c r="H153" s="51">
        <v>160</v>
      </c>
      <c r="I153" s="51">
        <v>80</v>
      </c>
      <c r="J153" s="51">
        <v>5.3</v>
      </c>
      <c r="K153" s="51">
        <v>16.3</v>
      </c>
      <c r="L153" s="51">
        <v>8.1</v>
      </c>
      <c r="M153" s="51">
        <v>3.3</v>
      </c>
      <c r="N153" s="51">
        <v>13.9</v>
      </c>
      <c r="O153" s="51">
        <v>3.1</v>
      </c>
      <c r="P153" s="51">
        <v>6.4</v>
      </c>
      <c r="Q153" s="53"/>
      <c r="R153" s="53"/>
      <c r="S153" s="51">
        <v>51.25</v>
      </c>
      <c r="T153" s="51">
        <v>1.5</v>
      </c>
      <c r="U153" s="51">
        <v>150</v>
      </c>
      <c r="V153" s="51">
        <v>80.75</v>
      </c>
      <c r="W153" s="51">
        <v>0.5</v>
      </c>
      <c r="X153" s="51">
        <v>151.75</v>
      </c>
      <c r="Y153" s="51">
        <v>15000</v>
      </c>
      <c r="Z153" s="51">
        <v>2500</v>
      </c>
      <c r="AA153" s="51">
        <v>375</v>
      </c>
      <c r="AB153" s="51"/>
      <c r="AC153" s="51"/>
      <c r="AD153" s="51">
        <v>4.4</v>
      </c>
      <c r="AE153" s="52">
        <v>50</v>
      </c>
    </row>
    <row r="154" ht="20.2" customHeight="1">
      <c r="A154" t="s" s="48">
        <v>228</v>
      </c>
      <c r="B154" t="s" s="25">
        <v>210</v>
      </c>
      <c r="C154" t="s" s="16">
        <v>33</v>
      </c>
      <c r="D154" s="17"/>
      <c r="E154" s="17"/>
      <c r="F154" s="18">
        <v>12.4</v>
      </c>
      <c r="G154" s="17">
        <v>140</v>
      </c>
      <c r="H154" s="49">
        <v>120</v>
      </c>
      <c r="I154" s="49">
        <v>70</v>
      </c>
      <c r="J154" s="49">
        <v>5.3</v>
      </c>
      <c r="K154" s="49">
        <v>11.5</v>
      </c>
      <c r="L154" s="49">
        <v>7.5</v>
      </c>
      <c r="M154" s="49">
        <v>3</v>
      </c>
      <c r="N154" s="49">
        <v>10.7</v>
      </c>
      <c r="O154" s="49">
        <v>3.1</v>
      </c>
      <c r="P154" s="49">
        <v>6.6</v>
      </c>
      <c r="Q154" s="17"/>
      <c r="R154" s="17"/>
      <c r="S154" s="49">
        <v>60</v>
      </c>
      <c r="T154" s="49">
        <v>1.5</v>
      </c>
      <c r="U154" s="49">
        <v>120</v>
      </c>
      <c r="V154" s="49">
        <v>100</v>
      </c>
      <c r="W154" s="49">
        <v>0.5</v>
      </c>
      <c r="X154" s="49">
        <v>180</v>
      </c>
      <c r="Y154" s="49">
        <v>15000</v>
      </c>
      <c r="Z154" s="49">
        <v>2000</v>
      </c>
      <c r="AA154" s="49">
        <v>300</v>
      </c>
      <c r="AB154" s="49"/>
      <c r="AC154" s="49"/>
      <c r="AD154" s="49"/>
      <c r="AE154" s="50"/>
    </row>
    <row r="155" ht="20.2" customHeight="1">
      <c r="A155" t="s" s="48">
        <v>229</v>
      </c>
      <c r="B155" t="s" s="32">
        <v>142</v>
      </c>
      <c r="C155" t="s" s="21">
        <v>230</v>
      </c>
      <c r="D155" s="22"/>
      <c r="E155" s="22"/>
      <c r="F155" s="23"/>
      <c r="G155" s="22"/>
      <c r="H155" s="51"/>
      <c r="I155" s="51"/>
      <c r="J155" s="51"/>
      <c r="K155" s="51">
        <v>80</v>
      </c>
      <c r="L155" s="51">
        <v>25</v>
      </c>
      <c r="M155" s="51">
        <v>30</v>
      </c>
      <c r="N155" s="51">
        <v>25</v>
      </c>
      <c r="O155" s="51">
        <v>26</v>
      </c>
      <c r="P155" s="51"/>
      <c r="Q155" s="22"/>
      <c r="R155" s="22"/>
      <c r="S155" s="51">
        <v>160</v>
      </c>
      <c r="T155" s="51">
        <v>8</v>
      </c>
      <c r="U155" s="51">
        <v>1200</v>
      </c>
      <c r="V155" s="51"/>
      <c r="W155" s="51">
        <v>6</v>
      </c>
      <c r="X155" s="51">
        <v>500</v>
      </c>
      <c r="Y155" s="51">
        <v>200000</v>
      </c>
      <c r="Z155" s="51">
        <v>20000</v>
      </c>
      <c r="AA155" s="51">
        <v>1000</v>
      </c>
      <c r="AB155" s="51"/>
      <c r="AC155" s="51"/>
      <c r="AD155" s="51"/>
      <c r="AE155" s="52">
        <v>800</v>
      </c>
    </row>
    <row r="156" ht="20.2" customHeight="1">
      <c r="A156" t="s" s="48">
        <v>231</v>
      </c>
      <c r="B156" t="s" s="25">
        <v>232</v>
      </c>
      <c r="C156" t="s" s="16">
        <v>230</v>
      </c>
      <c r="D156" s="17"/>
      <c r="E156" s="17"/>
      <c r="F156" s="18"/>
      <c r="G156" s="17">
        <v>1.38</v>
      </c>
      <c r="H156" s="49">
        <v>0.12</v>
      </c>
      <c r="I156" s="49">
        <v>0.48</v>
      </c>
      <c r="J156" s="49">
        <v>0.3</v>
      </c>
      <c r="K156" s="49">
        <v>0.09</v>
      </c>
      <c r="L156" s="49"/>
      <c r="M156" s="49"/>
      <c r="N156" s="49"/>
      <c r="O156" s="49">
        <v>0.39</v>
      </c>
      <c r="P156" s="49"/>
      <c r="Q156" s="17"/>
      <c r="R156" s="17"/>
      <c r="S156" s="49">
        <v>42</v>
      </c>
      <c r="T156" s="49">
        <v>0.6</v>
      </c>
      <c r="U156" s="49">
        <v>48</v>
      </c>
      <c r="V156" s="49">
        <v>120</v>
      </c>
      <c r="W156" s="49">
        <v>0.21</v>
      </c>
      <c r="X156" s="49">
        <v>150</v>
      </c>
      <c r="Y156" s="49">
        <v>18000</v>
      </c>
      <c r="Z156" s="49">
        <v>2700</v>
      </c>
      <c r="AA156" s="49">
        <v>510</v>
      </c>
      <c r="AB156" s="49">
        <v>30</v>
      </c>
      <c r="AC156" s="49">
        <v>12</v>
      </c>
      <c r="AD156" s="49">
        <v>3</v>
      </c>
      <c r="AE156" s="50"/>
    </row>
    <row r="157" ht="32.2" customHeight="1">
      <c r="A157" t="s" s="48">
        <v>233</v>
      </c>
      <c r="B157" t="s" s="32">
        <v>234</v>
      </c>
      <c r="C157" t="s" s="21">
        <v>230</v>
      </c>
      <c r="D157" s="22"/>
      <c r="E157" s="22"/>
      <c r="F157" s="23">
        <v>7.87</v>
      </c>
      <c r="G157" s="22">
        <v>225.3</v>
      </c>
      <c r="H157" s="51"/>
      <c r="I157" s="51">
        <v>146.5</v>
      </c>
      <c r="J157" s="51">
        <v>13.36</v>
      </c>
      <c r="K157" s="51">
        <v>17</v>
      </c>
      <c r="L157" s="51">
        <v>6</v>
      </c>
      <c r="M157" s="51">
        <v>3570</v>
      </c>
      <c r="N157" s="51"/>
      <c r="O157" s="51"/>
      <c r="P157" s="51"/>
      <c r="Q157" s="22">
        <v>23</v>
      </c>
      <c r="R157" s="22"/>
      <c r="S157" s="51">
        <v>350</v>
      </c>
      <c r="T157" s="51"/>
      <c r="U157" s="51"/>
      <c r="V157" s="51">
        <v>350</v>
      </c>
      <c r="W157" s="51">
        <v>1.5</v>
      </c>
      <c r="X157" s="51">
        <v>1069</v>
      </c>
      <c r="Y157" s="51">
        <v>20000</v>
      </c>
      <c r="Z157" s="51">
        <v>47300</v>
      </c>
      <c r="AA157" s="51">
        <v>5000</v>
      </c>
      <c r="AB157" s="51">
        <v>160</v>
      </c>
      <c r="AC157" s="51"/>
      <c r="AD157" s="51"/>
      <c r="AE157" s="52">
        <v>7090</v>
      </c>
    </row>
    <row r="158" ht="20.2" customHeight="1">
      <c r="A158" t="s" s="48">
        <v>235</v>
      </c>
      <c r="B158" t="s" s="25">
        <v>232</v>
      </c>
      <c r="C158" t="s" s="16">
        <v>230</v>
      </c>
      <c r="D158" s="17"/>
      <c r="E158" s="17"/>
      <c r="F158" s="18"/>
      <c r="G158" s="17"/>
      <c r="H158" s="49"/>
      <c r="I158" s="49"/>
      <c r="J158" s="49"/>
      <c r="K158" s="49"/>
      <c r="L158" s="49"/>
      <c r="M158" s="49"/>
      <c r="N158" s="49"/>
      <c r="O158" s="49"/>
      <c r="P158" s="49"/>
      <c r="Q158" s="17"/>
      <c r="R158" s="17"/>
      <c r="S158" s="49">
        <v>250</v>
      </c>
      <c r="T158" s="49"/>
      <c r="U158" s="49"/>
      <c r="V158" s="49"/>
      <c r="W158" s="49"/>
      <c r="X158" s="49">
        <v>3415</v>
      </c>
      <c r="Y158" s="49"/>
      <c r="Z158" s="49"/>
      <c r="AA158" s="49"/>
      <c r="AB158" s="49"/>
      <c r="AC158" s="49"/>
      <c r="AD158" s="49"/>
      <c r="AE158" s="50"/>
    </row>
    <row r="159" ht="20.2" customHeight="1">
      <c r="A159" t="s" s="48">
        <v>236</v>
      </c>
      <c r="B159" t="s" s="32">
        <v>232</v>
      </c>
      <c r="C159" t="s" s="21">
        <v>230</v>
      </c>
      <c r="D159" s="22"/>
      <c r="E159" s="22"/>
      <c r="F159" s="23"/>
      <c r="G159" s="22">
        <v>19.2</v>
      </c>
      <c r="H159" s="51">
        <v>1.05</v>
      </c>
      <c r="I159" s="51">
        <v>4.8</v>
      </c>
      <c r="J159" s="51">
        <v>14.62</v>
      </c>
      <c r="K159" s="51">
        <v>20.1</v>
      </c>
      <c r="L159" s="51">
        <v>10.2</v>
      </c>
      <c r="M159" s="51">
        <v>0.6</v>
      </c>
      <c r="N159" s="51"/>
      <c r="O159" s="51"/>
      <c r="P159" s="51"/>
      <c r="Q159" s="22"/>
      <c r="R159" s="22"/>
      <c r="S159" s="51">
        <v>300</v>
      </c>
      <c r="T159" s="51"/>
      <c r="U159" s="51"/>
      <c r="V159" s="51">
        <v>360</v>
      </c>
      <c r="W159" s="51"/>
      <c r="X159" s="51">
        <v>750</v>
      </c>
      <c r="Y159" s="51"/>
      <c r="Z159" s="51">
        <v>470</v>
      </c>
      <c r="AA159" s="51"/>
      <c r="AB159" s="51"/>
      <c r="AC159" s="51"/>
      <c r="AD159" s="51">
        <v>8.699999999999999</v>
      </c>
      <c r="AE159" s="52"/>
    </row>
    <row r="160" ht="20.2" customHeight="1">
      <c r="A160" t="s" s="48">
        <v>237</v>
      </c>
      <c r="B160" t="s" s="25">
        <v>232</v>
      </c>
      <c r="C160" t="s" s="16">
        <v>230</v>
      </c>
      <c r="D160" s="17"/>
      <c r="E160" s="17"/>
      <c r="F160" s="18"/>
      <c r="G160" s="17"/>
      <c r="H160" s="49"/>
      <c r="I160" s="49"/>
      <c r="J160" s="49"/>
      <c r="K160" s="49"/>
      <c r="L160" s="49"/>
      <c r="M160" s="49">
        <v>0.09</v>
      </c>
      <c r="N160" s="49">
        <v>1.56</v>
      </c>
      <c r="O160" s="49">
        <v>3.12</v>
      </c>
      <c r="P160" s="49">
        <v>6.27</v>
      </c>
      <c r="Q160" s="17"/>
      <c r="R160" s="17"/>
      <c r="S160" s="49"/>
      <c r="T160" s="49"/>
      <c r="U160" s="49"/>
      <c r="V160" s="49"/>
      <c r="W160" s="49"/>
      <c r="X160" s="49"/>
      <c r="Y160" s="49"/>
      <c r="Z160" s="49"/>
      <c r="AA160" s="49">
        <v>1.14</v>
      </c>
      <c r="AB160" s="49"/>
      <c r="AC160" s="49"/>
      <c r="AD160" s="49"/>
      <c r="AE160" s="50">
        <v>552</v>
      </c>
    </row>
    <row r="161" ht="20.2" customHeight="1">
      <c r="A161" t="s" s="48">
        <v>238</v>
      </c>
      <c r="B161" t="s" s="32">
        <v>239</v>
      </c>
      <c r="C161" t="s" s="21">
        <v>230</v>
      </c>
      <c r="D161" s="22"/>
      <c r="E161" s="22"/>
      <c r="F161" s="23"/>
      <c r="G161" s="22"/>
      <c r="H161" s="51"/>
      <c r="I161" s="51"/>
      <c r="J161" s="51">
        <v>10</v>
      </c>
      <c r="K161" s="51">
        <v>17.4</v>
      </c>
      <c r="L161" s="51">
        <v>6.1</v>
      </c>
      <c r="M161" s="51">
        <v>2</v>
      </c>
      <c r="N161" s="51"/>
      <c r="O161" s="51"/>
      <c r="P161" s="51"/>
      <c r="Q161" s="22"/>
      <c r="R161" s="22"/>
      <c r="S161" s="51">
        <v>50</v>
      </c>
      <c r="T161" s="51">
        <v>7</v>
      </c>
      <c r="U161" s="51">
        <v>180</v>
      </c>
      <c r="V161" s="51">
        <v>125</v>
      </c>
      <c r="W161" s="51">
        <v>1.4</v>
      </c>
      <c r="X161" s="51">
        <v>400</v>
      </c>
      <c r="Y161" s="51">
        <v>85700</v>
      </c>
      <c r="Z161" s="51">
        <v>8570</v>
      </c>
      <c r="AA161" s="51">
        <v>714</v>
      </c>
      <c r="AB161" s="51">
        <v>14.2</v>
      </c>
      <c r="AC161" s="51">
        <v>22.8</v>
      </c>
      <c r="AD161" s="51"/>
      <c r="AE161" s="52">
        <v>285</v>
      </c>
    </row>
    <row r="162" ht="20.2" customHeight="1">
      <c r="A162" t="s" s="48">
        <v>240</v>
      </c>
      <c r="B162" t="s" s="25">
        <v>76</v>
      </c>
      <c r="C162" t="s" s="16">
        <v>230</v>
      </c>
      <c r="D162" s="17"/>
      <c r="E162" s="17"/>
      <c r="F162" s="18"/>
      <c r="G162" s="17">
        <v>45</v>
      </c>
      <c r="H162" s="49">
        <v>56</v>
      </c>
      <c r="I162" s="49">
        <v>60</v>
      </c>
      <c r="J162" s="49"/>
      <c r="K162" s="49">
        <v>164</v>
      </c>
      <c r="L162" s="49">
        <v>26</v>
      </c>
      <c r="M162" s="49">
        <v>23</v>
      </c>
      <c r="N162" s="49"/>
      <c r="O162" s="49">
        <v>39</v>
      </c>
      <c r="P162" s="49"/>
      <c r="Q162" s="17"/>
      <c r="R162" s="17">
        <v>10</v>
      </c>
      <c r="S162" s="49">
        <v>700</v>
      </c>
      <c r="T162" s="49">
        <v>12.7</v>
      </c>
      <c r="U162" s="49">
        <v>300</v>
      </c>
      <c r="V162" s="49">
        <v>1100</v>
      </c>
      <c r="W162" s="49">
        <v>8</v>
      </c>
      <c r="X162" s="49">
        <v>2500</v>
      </c>
      <c r="Y162" s="49">
        <v>260000</v>
      </c>
      <c r="Z162" s="49">
        <v>29000</v>
      </c>
      <c r="AA162" s="49">
        <v>5300</v>
      </c>
      <c r="AB162" s="49">
        <v>255</v>
      </c>
      <c r="AC162" s="49">
        <v>360</v>
      </c>
      <c r="AD162" s="49"/>
      <c r="AE162" s="50"/>
    </row>
    <row r="163" ht="32.2" customHeight="1">
      <c r="A163" t="s" s="48">
        <v>241</v>
      </c>
      <c r="B163" t="s" s="32">
        <v>242</v>
      </c>
      <c r="C163" t="s" s="21">
        <v>230</v>
      </c>
      <c r="D163" s="22"/>
      <c r="E163" s="22"/>
      <c r="F163" s="23"/>
      <c r="G163" s="22">
        <v>202</v>
      </c>
      <c r="H163" s="51">
        <v>33</v>
      </c>
      <c r="I163" s="51">
        <v>33</v>
      </c>
      <c r="J163" s="51">
        <v>50</v>
      </c>
      <c r="K163" s="51">
        <v>131</v>
      </c>
      <c r="L163" s="51">
        <v>16</v>
      </c>
      <c r="M163" s="51">
        <v>9.4</v>
      </c>
      <c r="N163" s="51"/>
      <c r="O163" s="51">
        <v>22</v>
      </c>
      <c r="P163" s="51"/>
      <c r="Q163" s="22"/>
      <c r="R163" s="22"/>
      <c r="S163" s="51">
        <v>500</v>
      </c>
      <c r="T163" s="51">
        <v>46.25</v>
      </c>
      <c r="U163" s="51">
        <v>1750</v>
      </c>
      <c r="V163" s="51">
        <v>1125</v>
      </c>
      <c r="W163" s="51">
        <v>18</v>
      </c>
      <c r="X163" s="51">
        <v>625</v>
      </c>
      <c r="Y163" s="51">
        <v>250000</v>
      </c>
      <c r="Z163" s="51">
        <v>25000</v>
      </c>
      <c r="AA163" s="51">
        <v>8750</v>
      </c>
      <c r="AB163" s="51">
        <v>350</v>
      </c>
      <c r="AC163" s="51">
        <v>145</v>
      </c>
      <c r="AD163" s="51">
        <v>40.63</v>
      </c>
      <c r="AE163" s="52">
        <v>6250</v>
      </c>
    </row>
    <row r="164" ht="32.2" customHeight="1">
      <c r="A164" t="s" s="48">
        <v>243</v>
      </c>
      <c r="B164" t="s" s="25">
        <v>242</v>
      </c>
      <c r="C164" t="s" s="16">
        <v>230</v>
      </c>
      <c r="D164" s="17"/>
      <c r="E164" s="17"/>
      <c r="F164" s="18"/>
      <c r="G164" s="17">
        <v>364</v>
      </c>
      <c r="H164" s="49">
        <v>57</v>
      </c>
      <c r="I164" s="49">
        <v>48.5</v>
      </c>
      <c r="J164" s="49">
        <v>13.3</v>
      </c>
      <c r="K164" s="49">
        <v>19</v>
      </c>
      <c r="L164" s="49"/>
      <c r="M164" s="49">
        <v>25</v>
      </c>
      <c r="N164" s="49"/>
      <c r="O164" s="49">
        <v>4</v>
      </c>
      <c r="P164" s="49"/>
      <c r="Q164" s="17"/>
      <c r="R164" s="17">
        <v>26</v>
      </c>
      <c r="S164" s="49">
        <v>1660</v>
      </c>
      <c r="T164" s="49">
        <v>142</v>
      </c>
      <c r="U164" s="49">
        <v>5616</v>
      </c>
      <c r="V164" s="49">
        <v>3761</v>
      </c>
      <c r="W164" s="49">
        <v>50</v>
      </c>
      <c r="X164" s="49">
        <v>5456</v>
      </c>
      <c r="Y164" s="49">
        <v>810000</v>
      </c>
      <c r="Z164" s="49">
        <v>81000</v>
      </c>
      <c r="AA164" s="49">
        <v>27000</v>
      </c>
      <c r="AB164" s="49">
        <v>1140</v>
      </c>
      <c r="AC164" s="49">
        <v>480</v>
      </c>
      <c r="AD164" s="49"/>
      <c r="AE164" s="50">
        <v>20000</v>
      </c>
    </row>
    <row r="165" ht="32.2" customHeight="1">
      <c r="A165" t="s" s="48">
        <v>244</v>
      </c>
      <c r="B165" t="s" s="32">
        <v>245</v>
      </c>
      <c r="C165" t="s" s="21">
        <v>230</v>
      </c>
      <c r="D165" s="22"/>
      <c r="E165" s="22"/>
      <c r="F165" s="23"/>
      <c r="G165" s="22"/>
      <c r="H165" s="51"/>
      <c r="I165" s="51"/>
      <c r="J165" s="51"/>
      <c r="K165" s="51"/>
      <c r="L165" s="51"/>
      <c r="M165" s="51"/>
      <c r="N165" s="51"/>
      <c r="O165" s="51"/>
      <c r="P165" s="51"/>
      <c r="Q165" s="22"/>
      <c r="R165" s="22"/>
      <c r="S165" s="51"/>
      <c r="T165" s="51"/>
      <c r="U165" s="51"/>
      <c r="V165" s="51">
        <v>2700</v>
      </c>
      <c r="W165" s="51"/>
      <c r="X165" s="51"/>
      <c r="Y165" s="51"/>
      <c r="Z165" s="51"/>
      <c r="AA165" s="51"/>
      <c r="AB165" s="51"/>
      <c r="AC165" s="51"/>
      <c r="AD165" s="51"/>
      <c r="AE165" s="52"/>
    </row>
    <row r="166" ht="20.2" customHeight="1">
      <c r="A166" t="s" s="48">
        <v>246</v>
      </c>
      <c r="B166" t="s" s="25">
        <v>247</v>
      </c>
      <c r="C166" t="s" s="16">
        <v>230</v>
      </c>
      <c r="D166" s="17"/>
      <c r="E166" s="17"/>
      <c r="F166" s="18"/>
      <c r="G166" s="17"/>
      <c r="H166" s="49"/>
      <c r="I166" s="49"/>
      <c r="J166" s="49"/>
      <c r="K166" s="49"/>
      <c r="L166" s="49"/>
      <c r="M166" s="49"/>
      <c r="N166" s="49"/>
      <c r="O166" s="49"/>
      <c r="P166" s="49"/>
      <c r="Q166" s="17"/>
      <c r="R166" s="17"/>
      <c r="S166" s="49"/>
      <c r="T166" s="49"/>
      <c r="U166" s="49"/>
      <c r="V166" s="49"/>
      <c r="W166" s="49"/>
      <c r="X166" s="49">
        <v>20</v>
      </c>
      <c r="Y166" s="49"/>
      <c r="Z166" s="49"/>
      <c r="AA166" s="49">
        <v>200000</v>
      </c>
      <c r="AB166" s="49"/>
      <c r="AC166" s="49"/>
      <c r="AD166" s="49"/>
      <c r="AE166" s="50"/>
    </row>
    <row r="167" ht="20.2" customHeight="1">
      <c r="A167" t="s" s="48">
        <v>248</v>
      </c>
      <c r="B167" s="54"/>
      <c r="C167" t="s" s="21">
        <v>230</v>
      </c>
      <c r="D167" s="22"/>
      <c r="E167" s="22"/>
      <c r="F167" s="23"/>
      <c r="G167" s="22"/>
      <c r="H167" s="51"/>
      <c r="I167" s="51"/>
      <c r="J167" s="51"/>
      <c r="K167" s="51"/>
      <c r="L167" s="51"/>
      <c r="M167" s="51"/>
      <c r="N167" s="51"/>
      <c r="O167" s="51"/>
      <c r="P167" s="51"/>
      <c r="Q167" s="22"/>
      <c r="R167" s="22"/>
      <c r="S167" s="51">
        <v>800</v>
      </c>
      <c r="T167" s="51">
        <v>50</v>
      </c>
      <c r="U167" s="51">
        <v>5000</v>
      </c>
      <c r="V167" s="51">
        <v>3700</v>
      </c>
      <c r="W167" s="51">
        <v>10</v>
      </c>
      <c r="X167" s="51">
        <v>10000</v>
      </c>
      <c r="Y167" s="51">
        <v>1000000</v>
      </c>
      <c r="Z167" s="51">
        <v>100000</v>
      </c>
      <c r="AA167" s="51">
        <v>6850</v>
      </c>
      <c r="AB167" s="51"/>
      <c r="AC167" s="51"/>
      <c r="AD167" s="51"/>
      <c r="AE167" s="52"/>
    </row>
    <row r="168" ht="20.95" customHeight="1">
      <c r="A168" t="s" s="55">
        <v>249</v>
      </c>
      <c r="B168" t="s" s="56">
        <v>250</v>
      </c>
      <c r="C168" t="s" s="57">
        <v>230</v>
      </c>
      <c r="D168" s="58"/>
      <c r="E168" s="58"/>
      <c r="F168" s="59"/>
      <c r="G168" s="58"/>
      <c r="H168" s="60"/>
      <c r="I168" s="60"/>
      <c r="J168" s="60"/>
      <c r="K168" s="60"/>
      <c r="L168" s="60"/>
      <c r="M168" s="60"/>
      <c r="N168" s="60"/>
      <c r="O168" s="60"/>
      <c r="P168" s="60"/>
      <c r="Q168" s="58"/>
      <c r="R168" s="58">
        <v>20</v>
      </c>
      <c r="S168" s="60">
        <v>540</v>
      </c>
      <c r="T168" s="60">
        <v>100</v>
      </c>
      <c r="U168" s="60">
        <v>4000</v>
      </c>
      <c r="V168" s="60">
        <v>4000</v>
      </c>
      <c r="W168" s="60">
        <v>30</v>
      </c>
      <c r="X168" s="60">
        <v>5000</v>
      </c>
      <c r="Y168" s="60">
        <v>5000000</v>
      </c>
      <c r="Z168" s="60">
        <v>100000</v>
      </c>
      <c r="AA168" s="60">
        <v>3000</v>
      </c>
      <c r="AB168" s="60">
        <v>500</v>
      </c>
      <c r="AC168" s="60">
        <v>75</v>
      </c>
      <c r="AD168" s="60">
        <v>50</v>
      </c>
      <c r="AE168" s="61">
        <v>1000</v>
      </c>
    </row>
  </sheetData>
  <mergeCells count="1">
    <mergeCell ref="A1:A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